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P:\1-ALL SHOP STUFF\1-Machine Schedules\WIPs\Master_Scheduler_2.0\"/>
    </mc:Choice>
  </mc:AlternateContent>
  <xr:revisionPtr revIDLastSave="0" documentId="13_ncr:1_{9BEFF8F0-B9E9-4C62-9F6F-B93580F41A4B}" xr6:coauthVersionLast="47" xr6:coauthVersionMax="47" xr10:uidLastSave="{00000000-0000-0000-0000-000000000000}"/>
  <bookViews>
    <workbookView xWindow="-90" yWindow="0" windowWidth="12980" windowHeight="13770" activeTab="1" xr2:uid="{572C2072-C24A-4E1A-A861-D2877EB91AD9}"/>
  </bookViews>
  <sheets>
    <sheet name="BarChart" sheetId="2" r:id="rId1"/>
    <sheet name="JOBS_LOCAL" sheetId="1" r:id="rId2"/>
    <sheet name="ProductOrderParts" sheetId="5" r:id="rId3"/>
    <sheet name="ProductOrders" sheetId="6" r:id="rId4"/>
    <sheet name="Parts" sheetId="4" r:id="rId5"/>
    <sheet name="Resources" sheetId="3" r:id="rId6"/>
  </sheets>
  <functionGroups builtInGroupCount="19"/>
  <definedNames>
    <definedName name="_xlnm._FilterDatabase" localSheetId="1" hidden="1">JOBS_LOCAL!$A$1:$S$42</definedName>
    <definedName name="_xlnm._FilterDatabase" localSheetId="2" hidden="1">ProductOrderParts!$L$1:$L$26</definedName>
    <definedName name="Activity_Bar_Chart_Range">BarChart!$C$4:$AJZ$12</definedName>
    <definedName name="Current_Day">BarChart!$A$1</definedName>
    <definedName name="ExternalData_1" localSheetId="0" hidden="1">BarChart!#REF!</definedName>
    <definedName name="Hours_Row">BarChart!$C$3:$AJZ$3</definedName>
    <definedName name="MACHINES">BarChart!$A$4:$A$12</definedName>
    <definedName name="Scrolling_Increment">BarChart!$A$2</definedName>
    <definedName name="TBL_SCHEDULING_VIEW_MACHINES">BarChart!$A$3:$A$4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R2" i="1" l="1"/>
  <c r="R3" i="1"/>
  <c r="R4" i="1"/>
  <c r="R5" i="1"/>
  <c r="R6" i="1"/>
  <c r="R7" i="1"/>
  <c r="R8" i="1"/>
  <c r="R9" i="1"/>
  <c r="R10" i="1"/>
  <c r="R11" i="1"/>
  <c r="R12" i="1"/>
  <c r="R13" i="1"/>
  <c r="P2" i="1"/>
  <c r="P3" i="1"/>
  <c r="P4" i="1"/>
  <c r="P5" i="1"/>
  <c r="P6" i="1"/>
  <c r="P7" i="1"/>
  <c r="P8" i="1"/>
  <c r="P9" i="1"/>
  <c r="P10" i="1"/>
  <c r="P11" i="1"/>
  <c r="P12" i="1"/>
  <c r="P13" i="1"/>
  <c r="L2" i="1"/>
  <c r="L3" i="1"/>
  <c r="L4" i="1"/>
  <c r="L5" i="1"/>
  <c r="L6" i="1"/>
  <c r="L7" i="1"/>
  <c r="L8" i="1"/>
  <c r="L9" i="1"/>
  <c r="L10" i="1"/>
  <c r="L11" i="1"/>
  <c r="L12" i="1"/>
  <c r="L13" i="1"/>
  <c r="I2" i="1"/>
  <c r="I3" i="1"/>
  <c r="I4" i="1"/>
  <c r="I5" i="1"/>
  <c r="I6" i="1"/>
  <c r="I7" i="1"/>
  <c r="I8" i="1"/>
  <c r="I9" i="1"/>
  <c r="I10" i="1"/>
  <c r="I11" i="1"/>
  <c r="I12" i="1"/>
  <c r="I13" i="1"/>
  <c r="G2" i="1"/>
  <c r="G3" i="1"/>
  <c r="G4" i="1"/>
  <c r="G5" i="1"/>
  <c r="G6" i="1"/>
  <c r="G7" i="1"/>
  <c r="G8" i="1"/>
  <c r="G9" i="1"/>
  <c r="G10" i="1"/>
  <c r="G11" i="1"/>
  <c r="G12" i="1"/>
  <c r="G13" i="1"/>
  <c r="F2" i="1"/>
  <c r="F3" i="1"/>
  <c r="F4" i="1"/>
  <c r="F5" i="1"/>
  <c r="F6" i="1"/>
  <c r="F7" i="1"/>
  <c r="F8" i="1"/>
  <c r="F9" i="1"/>
  <c r="F10" i="1"/>
  <c r="F11" i="1"/>
  <c r="F12" i="1"/>
  <c r="F13" i="1"/>
  <c r="E2" i="1"/>
  <c r="E3" i="1"/>
  <c r="E4" i="1"/>
  <c r="E5" i="1"/>
  <c r="E6" i="1"/>
  <c r="E7" i="1"/>
  <c r="E8" i="1"/>
  <c r="E9" i="1"/>
  <c r="E10" i="1"/>
  <c r="E11" i="1"/>
  <c r="E12" i="1"/>
  <c r="E13" i="1"/>
  <c r="D2" i="1"/>
  <c r="D3" i="1"/>
  <c r="D4" i="1"/>
  <c r="D5" i="1"/>
  <c r="D6" i="1"/>
  <c r="D7" i="1"/>
  <c r="D8" i="1"/>
  <c r="D9" i="1"/>
  <c r="D10" i="1"/>
  <c r="D11" i="1"/>
  <c r="D12" i="1"/>
  <c r="D13" i="1"/>
  <c r="G2" i="5" l="1"/>
  <c r="G3" i="5"/>
  <c r="G4" i="5"/>
  <c r="G5" i="5"/>
  <c r="G6" i="5"/>
  <c r="G7" i="5"/>
  <c r="G8" i="5"/>
  <c r="G9" i="5"/>
  <c r="G10" i="5"/>
  <c r="G11" i="5"/>
  <c r="G12" i="5"/>
  <c r="G13" i="5"/>
  <c r="G14" i="5"/>
  <c r="G15" i="5"/>
  <c r="G16" i="5"/>
  <c r="G17" i="5"/>
  <c r="G18" i="5"/>
  <c r="G19" i="5"/>
  <c r="G20" i="5"/>
  <c r="G21" i="5"/>
  <c r="G22" i="5"/>
  <c r="G23" i="5"/>
  <c r="G24" i="5"/>
  <c r="G25" i="5"/>
  <c r="G26" i="5"/>
  <c r="F2" i="5"/>
  <c r="F3" i="5"/>
  <c r="F4" i="5"/>
  <c r="F5" i="5"/>
  <c r="F6" i="5"/>
  <c r="F7" i="5"/>
  <c r="F8" i="5"/>
  <c r="F9" i="5"/>
  <c r="F10" i="5"/>
  <c r="F11" i="5"/>
  <c r="F12" i="5"/>
  <c r="F13" i="5"/>
  <c r="F14" i="5"/>
  <c r="F15" i="5"/>
  <c r="F16" i="5"/>
  <c r="F17" i="5"/>
  <c r="F18" i="5"/>
  <c r="F19" i="5"/>
  <c r="F20" i="5"/>
  <c r="F21" i="5"/>
  <c r="F22" i="5"/>
  <c r="F23" i="5"/>
  <c r="F24" i="5"/>
  <c r="F25" i="5"/>
  <c r="F26" i="5"/>
  <c r="E2" i="5"/>
  <c r="E3" i="5"/>
  <c r="E4" i="5"/>
  <c r="E5" i="5"/>
  <c r="E6" i="5"/>
  <c r="E7" i="5"/>
  <c r="E8" i="5"/>
  <c r="E9" i="5"/>
  <c r="E10" i="5"/>
  <c r="E11" i="5"/>
  <c r="E12" i="5"/>
  <c r="E13" i="5"/>
  <c r="E14" i="5"/>
  <c r="E15" i="5"/>
  <c r="E16" i="5"/>
  <c r="E17" i="5"/>
  <c r="E18" i="5"/>
  <c r="E19" i="5"/>
  <c r="E20" i="5"/>
  <c r="E21" i="5"/>
  <c r="E22" i="5"/>
  <c r="E23" i="5"/>
  <c r="E24" i="5"/>
  <c r="E25" i="5"/>
  <c r="E26" i="5"/>
  <c r="A1" i="2" l="1"/>
  <c r="C2" i="2" s="1"/>
  <c r="C1" i="2" s="1"/>
  <c r="C3" i="2" l="1"/>
  <c r="D3" i="2" s="1"/>
  <c r="E3" i="2" s="1"/>
  <c r="F3" i="2" s="1"/>
  <c r="G3" i="2" s="1"/>
  <c r="H3" i="2" s="1"/>
  <c r="I3" i="2" s="1"/>
  <c r="J3" i="2" s="1"/>
  <c r="K3" i="2" s="1"/>
  <c r="L3" i="2" s="1"/>
  <c r="M3" i="2" s="1"/>
  <c r="N3" i="2" s="1"/>
  <c r="O3" i="2" s="1"/>
  <c r="P3" i="2" s="1"/>
  <c r="Q3" i="2" s="1"/>
  <c r="R3" i="2" s="1"/>
  <c r="S3" i="2" s="1"/>
  <c r="T3" i="2" s="1"/>
  <c r="U3" i="2" s="1"/>
  <c r="V3" i="2" s="1"/>
  <c r="W3" i="2" s="1"/>
  <c r="X3" i="2" s="1"/>
  <c r="Y3" i="2" s="1"/>
  <c r="Z3" i="2" s="1"/>
  <c r="AA2" i="2"/>
  <c r="AY2" i="2" l="1"/>
  <c r="AA3" i="2"/>
  <c r="AB3" i="2" s="1"/>
  <c r="AC3" i="2" s="1"/>
  <c r="AD3" i="2" s="1"/>
  <c r="AE3" i="2" s="1"/>
  <c r="AF3" i="2" s="1"/>
  <c r="AG3" i="2" s="1"/>
  <c r="AH3" i="2" s="1"/>
  <c r="AI3" i="2" s="1"/>
  <c r="AJ3" i="2" s="1"/>
  <c r="AK3" i="2" s="1"/>
  <c r="AL3" i="2" s="1"/>
  <c r="AM3" i="2" s="1"/>
  <c r="AN3" i="2" s="1"/>
  <c r="AO3" i="2" s="1"/>
  <c r="AP3" i="2" s="1"/>
  <c r="AQ3" i="2" s="1"/>
  <c r="AR3" i="2" s="1"/>
  <c r="AS3" i="2" s="1"/>
  <c r="AT3" i="2" s="1"/>
  <c r="AU3" i="2" s="1"/>
  <c r="AV3" i="2" s="1"/>
  <c r="AW3" i="2" s="1"/>
  <c r="AX3" i="2" s="1"/>
  <c r="BW2" i="2" l="1"/>
  <c r="AY3" i="2"/>
  <c r="AZ3" i="2" s="1"/>
  <c r="BA3" i="2" s="1"/>
  <c r="BB3" i="2" s="1"/>
  <c r="BC3" i="2" s="1"/>
  <c r="BD3" i="2" s="1"/>
  <c r="BE3" i="2" s="1"/>
  <c r="BF3" i="2" s="1"/>
  <c r="BG3" i="2" s="1"/>
  <c r="BH3" i="2" s="1"/>
  <c r="BI3" i="2" s="1"/>
  <c r="BJ3" i="2" s="1"/>
  <c r="BK3" i="2" s="1"/>
  <c r="BL3" i="2" s="1"/>
  <c r="BM3" i="2" s="1"/>
  <c r="BN3" i="2" s="1"/>
  <c r="BO3" i="2" s="1"/>
  <c r="BP3" i="2" s="1"/>
  <c r="BQ3" i="2" s="1"/>
  <c r="BR3" i="2" s="1"/>
  <c r="BS3" i="2" s="1"/>
  <c r="BT3" i="2" s="1"/>
  <c r="BU3" i="2" s="1"/>
  <c r="BV3" i="2" s="1"/>
  <c r="CU2" i="2" l="1"/>
  <c r="BW3" i="2"/>
  <c r="BX3" i="2" s="1"/>
  <c r="BY3" i="2" s="1"/>
  <c r="BZ3" i="2" s="1"/>
  <c r="CA3" i="2" s="1"/>
  <c r="CB3" i="2" s="1"/>
  <c r="CC3" i="2" s="1"/>
  <c r="CD3" i="2" s="1"/>
  <c r="CE3" i="2" s="1"/>
  <c r="CF3" i="2" s="1"/>
  <c r="CG3" i="2" s="1"/>
  <c r="CH3" i="2" s="1"/>
  <c r="CI3" i="2" s="1"/>
  <c r="CJ3" i="2" s="1"/>
  <c r="CK3" i="2" s="1"/>
  <c r="CL3" i="2" s="1"/>
  <c r="CM3" i="2" s="1"/>
  <c r="CN3" i="2" s="1"/>
  <c r="CO3" i="2" s="1"/>
  <c r="CP3" i="2" s="1"/>
  <c r="CQ3" i="2" s="1"/>
  <c r="CR3" i="2" s="1"/>
  <c r="CS3" i="2" s="1"/>
  <c r="CT3" i="2" s="1"/>
  <c r="DS2" i="2" l="1"/>
  <c r="CU3" i="2"/>
  <c r="CV3" i="2" s="1"/>
  <c r="CW3" i="2" s="1"/>
  <c r="CX3" i="2" s="1"/>
  <c r="CY3" i="2" s="1"/>
  <c r="CZ3" i="2" s="1"/>
  <c r="DA3" i="2" s="1"/>
  <c r="DB3" i="2" s="1"/>
  <c r="DC3" i="2" s="1"/>
  <c r="DD3" i="2" s="1"/>
  <c r="DE3" i="2" s="1"/>
  <c r="DF3" i="2" s="1"/>
  <c r="DG3" i="2" s="1"/>
  <c r="DH3" i="2" s="1"/>
  <c r="DI3" i="2" s="1"/>
  <c r="DJ3" i="2" s="1"/>
  <c r="DK3" i="2" s="1"/>
  <c r="DL3" i="2" s="1"/>
  <c r="DM3" i="2" s="1"/>
  <c r="DN3" i="2" s="1"/>
  <c r="DO3" i="2" s="1"/>
  <c r="DP3" i="2" s="1"/>
  <c r="DQ3" i="2" s="1"/>
  <c r="DR3" i="2" s="1"/>
  <c r="EQ2" i="2" l="1"/>
  <c r="DS3" i="2"/>
  <c r="DT3" i="2" s="1"/>
  <c r="DU3" i="2" s="1"/>
  <c r="DV3" i="2" s="1"/>
  <c r="DW3" i="2" s="1"/>
  <c r="DX3" i="2" s="1"/>
  <c r="DY3" i="2" s="1"/>
  <c r="DZ3" i="2" s="1"/>
  <c r="EA3" i="2" s="1"/>
  <c r="EB3" i="2" s="1"/>
  <c r="EC3" i="2" s="1"/>
  <c r="ED3" i="2" s="1"/>
  <c r="EE3" i="2" s="1"/>
  <c r="EF3" i="2" s="1"/>
  <c r="EG3" i="2" s="1"/>
  <c r="EH3" i="2" s="1"/>
  <c r="EI3" i="2" s="1"/>
  <c r="EJ3" i="2" s="1"/>
  <c r="EK3" i="2" s="1"/>
  <c r="EL3" i="2" s="1"/>
  <c r="EM3" i="2" s="1"/>
  <c r="EN3" i="2" s="1"/>
  <c r="EO3" i="2" s="1"/>
  <c r="EP3" i="2" s="1"/>
  <c r="FO2" i="2" l="1"/>
  <c r="FO3" i="2" s="1"/>
  <c r="EQ3" i="2"/>
  <c r="ER3" i="2" s="1"/>
  <c r="ES3" i="2" s="1"/>
  <c r="ET3" i="2" s="1"/>
  <c r="EU3" i="2" s="1"/>
  <c r="EV3" i="2" s="1"/>
  <c r="EW3" i="2" s="1"/>
  <c r="EX3" i="2" s="1"/>
  <c r="EY3" i="2" s="1"/>
  <c r="EZ3" i="2" s="1"/>
  <c r="FA3" i="2" s="1"/>
  <c r="FB3" i="2" s="1"/>
  <c r="FC3" i="2" s="1"/>
  <c r="FD3" i="2" s="1"/>
  <c r="FE3" i="2" s="1"/>
  <c r="FF3" i="2" s="1"/>
  <c r="FG3" i="2" s="1"/>
  <c r="FH3" i="2" s="1"/>
  <c r="FI3" i="2" s="1"/>
  <c r="FJ3" i="2" s="1"/>
  <c r="FK3" i="2" s="1"/>
  <c r="FL3" i="2" s="1"/>
  <c r="FM3" i="2" s="1"/>
  <c r="FN3" i="2" s="1"/>
  <c r="GM2" i="2" l="1"/>
  <c r="HK2" i="2" s="1"/>
  <c r="FO1" i="2"/>
  <c r="FP3" i="2"/>
  <c r="FQ3" i="2" s="1"/>
  <c r="FR3" i="2" s="1"/>
  <c r="FS3" i="2" s="1"/>
  <c r="FT3" i="2" s="1"/>
  <c r="FU3" i="2" s="1"/>
  <c r="FV3" i="2" s="1"/>
  <c r="FW3" i="2" s="1"/>
  <c r="FX3" i="2" s="1"/>
  <c r="FY3" i="2" s="1"/>
  <c r="FZ3" i="2" s="1"/>
  <c r="GA3" i="2" s="1"/>
  <c r="GB3" i="2" s="1"/>
  <c r="GC3" i="2" s="1"/>
  <c r="GD3" i="2" s="1"/>
  <c r="GE3" i="2" s="1"/>
  <c r="GF3" i="2" s="1"/>
  <c r="GG3" i="2" s="1"/>
  <c r="GH3" i="2" s="1"/>
  <c r="GI3" i="2" s="1"/>
  <c r="GJ3" i="2" s="1"/>
  <c r="GK3" i="2" s="1"/>
  <c r="GL3" i="2" s="1"/>
  <c r="GM3" i="2" l="1"/>
  <c r="GN3" i="2" s="1"/>
  <c r="GO3" i="2" s="1"/>
  <c r="GP3" i="2" s="1"/>
  <c r="GQ3" i="2" s="1"/>
  <c r="GR3" i="2" s="1"/>
  <c r="GS3" i="2" s="1"/>
  <c r="GT3" i="2" s="1"/>
  <c r="GU3" i="2" s="1"/>
  <c r="GV3" i="2" s="1"/>
  <c r="GW3" i="2" s="1"/>
  <c r="GX3" i="2" s="1"/>
  <c r="GY3" i="2" s="1"/>
  <c r="GZ3" i="2" s="1"/>
  <c r="HA3" i="2" s="1"/>
  <c r="HB3" i="2" s="1"/>
  <c r="HC3" i="2" s="1"/>
  <c r="HD3" i="2" s="1"/>
  <c r="HE3" i="2" s="1"/>
  <c r="HF3" i="2" s="1"/>
  <c r="HG3" i="2" s="1"/>
  <c r="HH3" i="2" s="1"/>
  <c r="HI3" i="2" s="1"/>
  <c r="HJ3" i="2" s="1"/>
  <c r="II2" i="2"/>
  <c r="HK3" i="2"/>
  <c r="HL3" i="2" s="1"/>
  <c r="HM3" i="2" s="1"/>
  <c r="HN3" i="2" s="1"/>
  <c r="HO3" i="2" s="1"/>
  <c r="HP3" i="2" s="1"/>
  <c r="HQ3" i="2" s="1"/>
  <c r="HR3" i="2" s="1"/>
  <c r="HS3" i="2" s="1"/>
  <c r="HT3" i="2" s="1"/>
  <c r="HU3" i="2" s="1"/>
  <c r="HV3" i="2" s="1"/>
  <c r="HW3" i="2" s="1"/>
  <c r="HX3" i="2" s="1"/>
  <c r="HY3" i="2" s="1"/>
  <c r="HZ3" i="2" s="1"/>
  <c r="IA3" i="2" s="1"/>
  <c r="IB3" i="2" s="1"/>
  <c r="IC3" i="2" s="1"/>
  <c r="ID3" i="2" s="1"/>
  <c r="IE3" i="2" s="1"/>
  <c r="IF3" i="2" s="1"/>
  <c r="IG3" i="2" s="1"/>
  <c r="IH3" i="2" s="1"/>
  <c r="JG2" i="2" l="1"/>
  <c r="II3" i="2"/>
  <c r="IJ3" i="2" s="1"/>
  <c r="IK3" i="2" s="1"/>
  <c r="IL3" i="2" s="1"/>
  <c r="IM3" i="2" s="1"/>
  <c r="IN3" i="2" s="1"/>
  <c r="IO3" i="2" s="1"/>
  <c r="IP3" i="2" s="1"/>
  <c r="IQ3" i="2" s="1"/>
  <c r="IR3" i="2" s="1"/>
  <c r="IS3" i="2" s="1"/>
  <c r="IT3" i="2" s="1"/>
  <c r="IU3" i="2" s="1"/>
  <c r="IV3" i="2" s="1"/>
  <c r="IW3" i="2" s="1"/>
  <c r="IX3" i="2" s="1"/>
  <c r="IY3" i="2" s="1"/>
  <c r="IZ3" i="2" s="1"/>
  <c r="JA3" i="2" s="1"/>
  <c r="JB3" i="2" s="1"/>
  <c r="JC3" i="2" s="1"/>
  <c r="JD3" i="2" s="1"/>
  <c r="JE3" i="2" s="1"/>
  <c r="JF3" i="2" s="1"/>
  <c r="KE2" i="2" l="1"/>
  <c r="JG3" i="2"/>
  <c r="JH3" i="2" s="1"/>
  <c r="JI3" i="2" s="1"/>
  <c r="JJ3" i="2" s="1"/>
  <c r="JK3" i="2" s="1"/>
  <c r="JL3" i="2" s="1"/>
  <c r="JM3" i="2" s="1"/>
  <c r="JN3" i="2" s="1"/>
  <c r="JO3" i="2" s="1"/>
  <c r="JP3" i="2" s="1"/>
  <c r="JQ3" i="2" s="1"/>
  <c r="JR3" i="2" s="1"/>
  <c r="JS3" i="2" s="1"/>
  <c r="JT3" i="2" s="1"/>
  <c r="JU3" i="2" s="1"/>
  <c r="JV3" i="2" s="1"/>
  <c r="JW3" i="2" s="1"/>
  <c r="JX3" i="2" s="1"/>
  <c r="JY3" i="2" s="1"/>
  <c r="JZ3" i="2" s="1"/>
  <c r="KA3" i="2" s="1"/>
  <c r="KB3" i="2" s="1"/>
  <c r="KC3" i="2" s="1"/>
  <c r="KD3" i="2" s="1"/>
  <c r="LC2" i="2" l="1"/>
  <c r="KE3" i="2"/>
  <c r="KF3" i="2" s="1"/>
  <c r="KG3" i="2" s="1"/>
  <c r="KH3" i="2" s="1"/>
  <c r="KI3" i="2" s="1"/>
  <c r="KJ3" i="2" s="1"/>
  <c r="KK3" i="2" s="1"/>
  <c r="KL3" i="2" s="1"/>
  <c r="KM3" i="2" s="1"/>
  <c r="KN3" i="2" s="1"/>
  <c r="KO3" i="2" s="1"/>
  <c r="KP3" i="2" s="1"/>
  <c r="KQ3" i="2" s="1"/>
  <c r="KR3" i="2" s="1"/>
  <c r="KS3" i="2" s="1"/>
  <c r="KT3" i="2" s="1"/>
  <c r="KU3" i="2" s="1"/>
  <c r="KV3" i="2" s="1"/>
  <c r="KW3" i="2" s="1"/>
  <c r="KX3" i="2" s="1"/>
  <c r="KY3" i="2" s="1"/>
  <c r="KZ3" i="2" s="1"/>
  <c r="LA3" i="2" s="1"/>
  <c r="LB3" i="2" s="1"/>
  <c r="MA2" i="2" l="1"/>
  <c r="MA3" i="2" s="1"/>
  <c r="LC3" i="2"/>
  <c r="LD3" i="2" s="1"/>
  <c r="LE3" i="2" s="1"/>
  <c r="LF3" i="2" s="1"/>
  <c r="LG3" i="2" s="1"/>
  <c r="LH3" i="2" s="1"/>
  <c r="LI3" i="2" s="1"/>
  <c r="LJ3" i="2" s="1"/>
  <c r="LK3" i="2" s="1"/>
  <c r="LL3" i="2" s="1"/>
  <c r="LM3" i="2" s="1"/>
  <c r="LN3" i="2" s="1"/>
  <c r="LO3" i="2" s="1"/>
  <c r="LP3" i="2" s="1"/>
  <c r="LQ3" i="2" s="1"/>
  <c r="LR3" i="2" s="1"/>
  <c r="LS3" i="2" s="1"/>
  <c r="LT3" i="2" s="1"/>
  <c r="LU3" i="2" s="1"/>
  <c r="LV3" i="2" s="1"/>
  <c r="LW3" i="2" s="1"/>
  <c r="LX3" i="2" s="1"/>
  <c r="LY3" i="2" s="1"/>
  <c r="LZ3" i="2" s="1"/>
  <c r="MB3" i="2" l="1"/>
  <c r="MC3" i="2" s="1"/>
  <c r="MD3" i="2" s="1"/>
  <c r="ME3" i="2" s="1"/>
  <c r="MF3" i="2" s="1"/>
  <c r="MG3" i="2" s="1"/>
  <c r="MH3" i="2" s="1"/>
  <c r="MI3" i="2" s="1"/>
  <c r="MJ3" i="2" s="1"/>
  <c r="MK3" i="2" s="1"/>
  <c r="ML3" i="2" s="1"/>
  <c r="MM3" i="2" s="1"/>
  <c r="MN3" i="2" s="1"/>
  <c r="MO3" i="2" s="1"/>
  <c r="MP3" i="2" s="1"/>
  <c r="MQ3" i="2" s="1"/>
  <c r="MR3" i="2" s="1"/>
  <c r="MS3" i="2" s="1"/>
  <c r="MT3" i="2" s="1"/>
  <c r="MU3" i="2" s="1"/>
  <c r="MV3" i="2" s="1"/>
  <c r="MW3" i="2" s="1"/>
  <c r="MX3" i="2" s="1"/>
  <c r="MA1" i="2"/>
  <c r="MY2" i="2"/>
  <c r="NW2" i="2" l="1"/>
  <c r="MY3" i="2"/>
  <c r="MZ3" i="2" s="1"/>
  <c r="NA3" i="2" s="1"/>
  <c r="NB3" i="2" s="1"/>
  <c r="NC3" i="2" s="1"/>
  <c r="ND3" i="2" s="1"/>
  <c r="NE3" i="2" s="1"/>
  <c r="NF3" i="2" s="1"/>
  <c r="NG3" i="2" s="1"/>
  <c r="NH3" i="2" s="1"/>
  <c r="NI3" i="2" s="1"/>
  <c r="NJ3" i="2" s="1"/>
  <c r="NK3" i="2" s="1"/>
  <c r="NL3" i="2" s="1"/>
  <c r="NM3" i="2" s="1"/>
  <c r="NN3" i="2" s="1"/>
  <c r="NO3" i="2" s="1"/>
  <c r="NP3" i="2" s="1"/>
  <c r="NQ3" i="2" s="1"/>
  <c r="NR3" i="2" s="1"/>
  <c r="NS3" i="2" s="1"/>
  <c r="NT3" i="2" s="1"/>
  <c r="NU3" i="2" s="1"/>
  <c r="NV3" i="2" s="1"/>
  <c r="OU2" i="2" l="1"/>
  <c r="NW3" i="2"/>
  <c r="NX3" i="2" s="1"/>
  <c r="NY3" i="2" s="1"/>
  <c r="NZ3" i="2" s="1"/>
  <c r="OA3" i="2" s="1"/>
  <c r="OB3" i="2" s="1"/>
  <c r="OC3" i="2" s="1"/>
  <c r="OD3" i="2" s="1"/>
  <c r="OE3" i="2" s="1"/>
  <c r="OF3" i="2" s="1"/>
  <c r="OG3" i="2" s="1"/>
  <c r="OH3" i="2" s="1"/>
  <c r="OI3" i="2" s="1"/>
  <c r="OJ3" i="2" s="1"/>
  <c r="OK3" i="2" s="1"/>
  <c r="OL3" i="2" s="1"/>
  <c r="OM3" i="2" s="1"/>
  <c r="ON3" i="2" s="1"/>
  <c r="OO3" i="2" s="1"/>
  <c r="OP3" i="2" s="1"/>
  <c r="OQ3" i="2" s="1"/>
  <c r="OR3" i="2" s="1"/>
  <c r="OS3" i="2" s="1"/>
  <c r="OT3" i="2" s="1"/>
  <c r="PS2" i="2" l="1"/>
  <c r="OU3" i="2"/>
  <c r="OV3" i="2" s="1"/>
  <c r="OW3" i="2" s="1"/>
  <c r="OX3" i="2" s="1"/>
  <c r="OY3" i="2" s="1"/>
  <c r="OZ3" i="2" s="1"/>
  <c r="PA3" i="2" s="1"/>
  <c r="PB3" i="2" s="1"/>
  <c r="PC3" i="2" s="1"/>
  <c r="PD3" i="2" s="1"/>
  <c r="PE3" i="2" s="1"/>
  <c r="PF3" i="2" s="1"/>
  <c r="PG3" i="2" s="1"/>
  <c r="PH3" i="2" s="1"/>
  <c r="PI3" i="2" s="1"/>
  <c r="PJ3" i="2" s="1"/>
  <c r="PK3" i="2" s="1"/>
  <c r="PL3" i="2" s="1"/>
  <c r="PM3" i="2" s="1"/>
  <c r="PN3" i="2" s="1"/>
  <c r="PO3" i="2" s="1"/>
  <c r="PP3" i="2" s="1"/>
  <c r="PQ3" i="2" s="1"/>
  <c r="PR3" i="2" s="1"/>
  <c r="QQ2" i="2" l="1"/>
  <c r="PS3" i="2"/>
  <c r="PT3" i="2" s="1"/>
  <c r="PU3" i="2" s="1"/>
  <c r="PV3" i="2" s="1"/>
  <c r="PW3" i="2" s="1"/>
  <c r="PX3" i="2" s="1"/>
  <c r="PY3" i="2" s="1"/>
  <c r="PZ3" i="2" s="1"/>
  <c r="QA3" i="2" s="1"/>
  <c r="QB3" i="2" s="1"/>
  <c r="QC3" i="2" s="1"/>
  <c r="QD3" i="2" s="1"/>
  <c r="QE3" i="2" s="1"/>
  <c r="QF3" i="2" s="1"/>
  <c r="QG3" i="2" s="1"/>
  <c r="QH3" i="2" s="1"/>
  <c r="QI3" i="2" s="1"/>
  <c r="QJ3" i="2" s="1"/>
  <c r="QK3" i="2" s="1"/>
  <c r="QL3" i="2" s="1"/>
  <c r="QM3" i="2" s="1"/>
  <c r="QN3" i="2" s="1"/>
  <c r="QO3" i="2" s="1"/>
  <c r="QP3" i="2" s="1"/>
  <c r="RO2" i="2" l="1"/>
  <c r="QQ3" i="2"/>
  <c r="QR3" i="2" s="1"/>
  <c r="QS3" i="2" s="1"/>
  <c r="QT3" i="2" s="1"/>
  <c r="QU3" i="2" s="1"/>
  <c r="QV3" i="2" s="1"/>
  <c r="QW3" i="2" s="1"/>
  <c r="QX3" i="2" s="1"/>
  <c r="QY3" i="2" s="1"/>
  <c r="QZ3" i="2" s="1"/>
  <c r="RA3" i="2" s="1"/>
  <c r="RB3" i="2" s="1"/>
  <c r="RC3" i="2" s="1"/>
  <c r="RD3" i="2" s="1"/>
  <c r="RE3" i="2" s="1"/>
  <c r="RF3" i="2" s="1"/>
  <c r="RG3" i="2" s="1"/>
  <c r="RH3" i="2" s="1"/>
  <c r="RI3" i="2" s="1"/>
  <c r="RJ3" i="2" s="1"/>
  <c r="RK3" i="2" s="1"/>
  <c r="RL3" i="2" s="1"/>
  <c r="RM3" i="2" s="1"/>
  <c r="RN3" i="2" s="1"/>
  <c r="SM2" i="2" l="1"/>
  <c r="SM3" i="2" s="1"/>
  <c r="RO3" i="2"/>
  <c r="RP3" i="2" s="1"/>
  <c r="RQ3" i="2" s="1"/>
  <c r="RR3" i="2" s="1"/>
  <c r="RS3" i="2" s="1"/>
  <c r="RT3" i="2" s="1"/>
  <c r="RU3" i="2" s="1"/>
  <c r="RV3" i="2" s="1"/>
  <c r="RW3" i="2" s="1"/>
  <c r="RX3" i="2" s="1"/>
  <c r="RY3" i="2" s="1"/>
  <c r="RZ3" i="2" s="1"/>
  <c r="SA3" i="2" s="1"/>
  <c r="SB3" i="2" s="1"/>
  <c r="SC3" i="2" s="1"/>
  <c r="SD3" i="2" s="1"/>
  <c r="SE3" i="2" s="1"/>
  <c r="SF3" i="2" s="1"/>
  <c r="SG3" i="2" s="1"/>
  <c r="SH3" i="2" s="1"/>
  <c r="SI3" i="2" s="1"/>
  <c r="SJ3" i="2" s="1"/>
  <c r="SK3" i="2" s="1"/>
  <c r="SL3" i="2" s="1"/>
  <c r="SN3" i="2" l="1"/>
  <c r="SO3" i="2" s="1"/>
  <c r="SP3" i="2" s="1"/>
  <c r="SQ3" i="2" s="1"/>
  <c r="SR3" i="2" s="1"/>
  <c r="SS3" i="2" s="1"/>
  <c r="ST3" i="2" s="1"/>
  <c r="SU3" i="2" s="1"/>
  <c r="SV3" i="2" s="1"/>
  <c r="SW3" i="2" s="1"/>
  <c r="SX3" i="2" s="1"/>
  <c r="SY3" i="2" s="1"/>
  <c r="SZ3" i="2" s="1"/>
  <c r="TA3" i="2" s="1"/>
  <c r="TB3" i="2" s="1"/>
  <c r="TC3" i="2" s="1"/>
  <c r="TD3" i="2" s="1"/>
  <c r="TE3" i="2" s="1"/>
  <c r="TF3" i="2" s="1"/>
  <c r="TG3" i="2" s="1"/>
  <c r="TH3" i="2" s="1"/>
  <c r="TI3" i="2" s="1"/>
  <c r="TJ3" i="2" s="1"/>
  <c r="TK2" i="2"/>
  <c r="SM1" i="2"/>
  <c r="UI2" i="2" l="1"/>
  <c r="TK3" i="2"/>
  <c r="TL3" i="2" s="1"/>
  <c r="TM3" i="2" s="1"/>
  <c r="TN3" i="2" s="1"/>
  <c r="TO3" i="2" s="1"/>
  <c r="TP3" i="2" s="1"/>
  <c r="TQ3" i="2" s="1"/>
  <c r="TR3" i="2" s="1"/>
  <c r="TS3" i="2" s="1"/>
  <c r="TT3" i="2" s="1"/>
  <c r="TU3" i="2" s="1"/>
  <c r="TV3" i="2" s="1"/>
  <c r="TW3" i="2" s="1"/>
  <c r="TX3" i="2" s="1"/>
  <c r="TY3" i="2" s="1"/>
  <c r="TZ3" i="2" s="1"/>
  <c r="UA3" i="2" s="1"/>
  <c r="UB3" i="2" s="1"/>
  <c r="UC3" i="2" s="1"/>
  <c r="UD3" i="2" s="1"/>
  <c r="UE3" i="2" s="1"/>
  <c r="UF3" i="2" s="1"/>
  <c r="UG3" i="2" s="1"/>
  <c r="UH3" i="2" s="1"/>
  <c r="VG2" i="2" l="1"/>
  <c r="UI3" i="2"/>
  <c r="UJ3" i="2" s="1"/>
  <c r="UK3" i="2" s="1"/>
  <c r="UL3" i="2" s="1"/>
  <c r="UM3" i="2" s="1"/>
  <c r="UN3" i="2" s="1"/>
  <c r="UO3" i="2" s="1"/>
  <c r="UP3" i="2" s="1"/>
  <c r="UQ3" i="2" s="1"/>
  <c r="UR3" i="2" s="1"/>
  <c r="US3" i="2" s="1"/>
  <c r="UT3" i="2" s="1"/>
  <c r="UU3" i="2" s="1"/>
  <c r="UV3" i="2" s="1"/>
  <c r="UW3" i="2" s="1"/>
  <c r="UX3" i="2" s="1"/>
  <c r="UY3" i="2" s="1"/>
  <c r="UZ3" i="2" s="1"/>
  <c r="VA3" i="2" s="1"/>
  <c r="VB3" i="2" s="1"/>
  <c r="VC3" i="2" s="1"/>
  <c r="VD3" i="2" s="1"/>
  <c r="VE3" i="2" s="1"/>
  <c r="VF3" i="2" s="1"/>
  <c r="WE2" i="2" l="1"/>
  <c r="VG3" i="2"/>
  <c r="VH3" i="2" s="1"/>
  <c r="VI3" i="2" s="1"/>
  <c r="VJ3" i="2" s="1"/>
  <c r="VK3" i="2" s="1"/>
  <c r="VL3" i="2" s="1"/>
  <c r="VM3" i="2" s="1"/>
  <c r="VN3" i="2" s="1"/>
  <c r="VO3" i="2" s="1"/>
  <c r="VP3" i="2" s="1"/>
  <c r="VQ3" i="2" s="1"/>
  <c r="VR3" i="2" s="1"/>
  <c r="VS3" i="2" s="1"/>
  <c r="VT3" i="2" s="1"/>
  <c r="VU3" i="2" s="1"/>
  <c r="VV3" i="2" s="1"/>
  <c r="VW3" i="2" s="1"/>
  <c r="VX3" i="2" s="1"/>
  <c r="VY3" i="2" s="1"/>
  <c r="VZ3" i="2" s="1"/>
  <c r="WA3" i="2" s="1"/>
  <c r="WB3" i="2" s="1"/>
  <c r="WC3" i="2" s="1"/>
  <c r="WD3" i="2" s="1"/>
  <c r="XC2" i="2" l="1"/>
  <c r="WE3" i="2"/>
  <c r="WF3" i="2" s="1"/>
  <c r="WG3" i="2" s="1"/>
  <c r="WH3" i="2" s="1"/>
  <c r="WI3" i="2" s="1"/>
  <c r="WJ3" i="2" s="1"/>
  <c r="WK3" i="2" s="1"/>
  <c r="WL3" i="2" s="1"/>
  <c r="WM3" i="2" s="1"/>
  <c r="WN3" i="2" s="1"/>
  <c r="WO3" i="2" s="1"/>
  <c r="WP3" i="2" s="1"/>
  <c r="WQ3" i="2" s="1"/>
  <c r="WR3" i="2" s="1"/>
  <c r="WS3" i="2" s="1"/>
  <c r="WT3" i="2" s="1"/>
  <c r="WU3" i="2" s="1"/>
  <c r="WV3" i="2" s="1"/>
  <c r="WW3" i="2" s="1"/>
  <c r="WX3" i="2" s="1"/>
  <c r="WY3" i="2" s="1"/>
  <c r="WZ3" i="2" s="1"/>
  <c r="XA3" i="2" s="1"/>
  <c r="XB3" i="2" s="1"/>
  <c r="YA2" i="2" l="1"/>
  <c r="XC3" i="2"/>
  <c r="XD3" i="2" s="1"/>
  <c r="XE3" i="2" s="1"/>
  <c r="XF3" i="2" s="1"/>
  <c r="XG3" i="2" s="1"/>
  <c r="XH3" i="2" s="1"/>
  <c r="XI3" i="2" s="1"/>
  <c r="XJ3" i="2" s="1"/>
  <c r="XK3" i="2" s="1"/>
  <c r="XL3" i="2" s="1"/>
  <c r="XM3" i="2" s="1"/>
  <c r="XN3" i="2" s="1"/>
  <c r="XO3" i="2" s="1"/>
  <c r="XP3" i="2" s="1"/>
  <c r="XQ3" i="2" s="1"/>
  <c r="XR3" i="2" s="1"/>
  <c r="XS3" i="2" s="1"/>
  <c r="XT3" i="2" s="1"/>
  <c r="XU3" i="2" s="1"/>
  <c r="XV3" i="2" s="1"/>
  <c r="XW3" i="2" s="1"/>
  <c r="XX3" i="2" s="1"/>
  <c r="XY3" i="2" s="1"/>
  <c r="XZ3" i="2" s="1"/>
  <c r="YY2" i="2" l="1"/>
  <c r="YY3" i="2" s="1"/>
  <c r="YA3" i="2"/>
  <c r="YB3" i="2" s="1"/>
  <c r="YC3" i="2" s="1"/>
  <c r="YD3" i="2" s="1"/>
  <c r="YE3" i="2" s="1"/>
  <c r="YF3" i="2" s="1"/>
  <c r="YG3" i="2" s="1"/>
  <c r="YH3" i="2" s="1"/>
  <c r="YI3" i="2" s="1"/>
  <c r="YJ3" i="2" s="1"/>
  <c r="YK3" i="2" s="1"/>
  <c r="YL3" i="2" s="1"/>
  <c r="YM3" i="2" s="1"/>
  <c r="YN3" i="2" s="1"/>
  <c r="YO3" i="2" s="1"/>
  <c r="YP3" i="2" s="1"/>
  <c r="YQ3" i="2" s="1"/>
  <c r="YR3" i="2" s="1"/>
  <c r="YS3" i="2" s="1"/>
  <c r="YT3" i="2" s="1"/>
  <c r="YU3" i="2" s="1"/>
  <c r="YV3" i="2" s="1"/>
  <c r="YW3" i="2" s="1"/>
  <c r="YX3" i="2" s="1"/>
  <c r="YY1" i="2" l="1"/>
  <c r="YZ3" i="2"/>
  <c r="ZA3" i="2" s="1"/>
  <c r="ZB3" i="2" s="1"/>
  <c r="ZC3" i="2" s="1"/>
  <c r="ZD3" i="2" s="1"/>
  <c r="ZE3" i="2" s="1"/>
  <c r="ZF3" i="2" s="1"/>
  <c r="ZG3" i="2" s="1"/>
  <c r="ZH3" i="2" s="1"/>
  <c r="ZI3" i="2" s="1"/>
  <c r="ZJ3" i="2" s="1"/>
  <c r="ZK3" i="2" s="1"/>
  <c r="ZL3" i="2" s="1"/>
  <c r="ZM3" i="2" s="1"/>
  <c r="ZN3" i="2" s="1"/>
  <c r="ZO3" i="2" s="1"/>
  <c r="ZP3" i="2" s="1"/>
  <c r="ZQ3" i="2" s="1"/>
  <c r="ZR3" i="2" s="1"/>
  <c r="ZS3" i="2" s="1"/>
  <c r="ZT3" i="2" s="1"/>
  <c r="ZU3" i="2" s="1"/>
  <c r="ZV3" i="2" s="1"/>
  <c r="ZW2" i="2"/>
  <c r="AAU2" i="2" s="1"/>
  <c r="ZW3" i="2" l="1"/>
  <c r="ZX3" i="2" s="1"/>
  <c r="ZY3" i="2" s="1"/>
  <c r="ZZ3" i="2" s="1"/>
  <c r="AAA3" i="2" s="1"/>
  <c r="AAB3" i="2" s="1"/>
  <c r="AAC3" i="2" s="1"/>
  <c r="AAD3" i="2" s="1"/>
  <c r="AAE3" i="2" s="1"/>
  <c r="AAF3" i="2" s="1"/>
  <c r="AAG3" i="2" s="1"/>
  <c r="AAH3" i="2" s="1"/>
  <c r="AAI3" i="2" s="1"/>
  <c r="AAJ3" i="2" s="1"/>
  <c r="AAK3" i="2" s="1"/>
  <c r="AAL3" i="2" s="1"/>
  <c r="AAM3" i="2" s="1"/>
  <c r="AAN3" i="2" s="1"/>
  <c r="AAO3" i="2" s="1"/>
  <c r="AAP3" i="2" s="1"/>
  <c r="AAQ3" i="2" s="1"/>
  <c r="AAR3" i="2" s="1"/>
  <c r="AAS3" i="2" s="1"/>
  <c r="AAT3" i="2" s="1"/>
  <c r="ABS2" i="2"/>
  <c r="AAU3" i="2"/>
  <c r="AAV3" i="2" s="1"/>
  <c r="AAW3" i="2" s="1"/>
  <c r="AAX3" i="2" s="1"/>
  <c r="AAY3" i="2" s="1"/>
  <c r="AAZ3" i="2" s="1"/>
  <c r="ABA3" i="2" s="1"/>
  <c r="ABB3" i="2" s="1"/>
  <c r="ABC3" i="2" s="1"/>
  <c r="ABD3" i="2" s="1"/>
  <c r="ABE3" i="2" s="1"/>
  <c r="ABF3" i="2" s="1"/>
  <c r="ABG3" i="2" s="1"/>
  <c r="ABH3" i="2" s="1"/>
  <c r="ABI3" i="2" s="1"/>
  <c r="ABJ3" i="2" s="1"/>
  <c r="ABK3" i="2" s="1"/>
  <c r="ABL3" i="2" s="1"/>
  <c r="ABM3" i="2" s="1"/>
  <c r="ABN3" i="2" s="1"/>
  <c r="ABO3" i="2" s="1"/>
  <c r="ABP3" i="2" s="1"/>
  <c r="ABQ3" i="2" s="1"/>
  <c r="ABR3" i="2" s="1"/>
  <c r="ACQ2" i="2" l="1"/>
  <c r="ABS3" i="2"/>
  <c r="ABT3" i="2" s="1"/>
  <c r="ABU3" i="2" s="1"/>
  <c r="ABV3" i="2" s="1"/>
  <c r="ABW3" i="2" s="1"/>
  <c r="ABX3" i="2" s="1"/>
  <c r="ABY3" i="2" s="1"/>
  <c r="ABZ3" i="2" s="1"/>
  <c r="ACA3" i="2" s="1"/>
  <c r="ACB3" i="2" s="1"/>
  <c r="ACC3" i="2" s="1"/>
  <c r="ACD3" i="2" s="1"/>
  <c r="ACE3" i="2" s="1"/>
  <c r="ACF3" i="2" s="1"/>
  <c r="ACG3" i="2" s="1"/>
  <c r="ACH3" i="2" s="1"/>
  <c r="ACI3" i="2" s="1"/>
  <c r="ACJ3" i="2" s="1"/>
  <c r="ACK3" i="2" s="1"/>
  <c r="ACL3" i="2" s="1"/>
  <c r="ACM3" i="2" s="1"/>
  <c r="ACN3" i="2" s="1"/>
  <c r="ACO3" i="2" s="1"/>
  <c r="ACP3" i="2" s="1"/>
  <c r="ADO2" i="2" l="1"/>
  <c r="ACQ3" i="2"/>
  <c r="ACR3" i="2" s="1"/>
  <c r="ACS3" i="2" s="1"/>
  <c r="ACT3" i="2" s="1"/>
  <c r="ACU3" i="2" s="1"/>
  <c r="ACV3" i="2" s="1"/>
  <c r="ACW3" i="2" s="1"/>
  <c r="ACX3" i="2" s="1"/>
  <c r="ACY3" i="2" s="1"/>
  <c r="ACZ3" i="2" s="1"/>
  <c r="ADA3" i="2" s="1"/>
  <c r="ADB3" i="2" s="1"/>
  <c r="ADC3" i="2" s="1"/>
  <c r="ADD3" i="2" s="1"/>
  <c r="ADE3" i="2" s="1"/>
  <c r="ADF3" i="2" s="1"/>
  <c r="ADG3" i="2" s="1"/>
  <c r="ADH3" i="2" s="1"/>
  <c r="ADI3" i="2" s="1"/>
  <c r="ADJ3" i="2" s="1"/>
  <c r="ADK3" i="2" s="1"/>
  <c r="ADL3" i="2" s="1"/>
  <c r="ADM3" i="2" s="1"/>
  <c r="ADN3" i="2" s="1"/>
  <c r="AEM2" i="2" l="1"/>
  <c r="ADO3" i="2"/>
  <c r="ADP3" i="2" s="1"/>
  <c r="ADQ3" i="2" s="1"/>
  <c r="ADR3" i="2" s="1"/>
  <c r="ADS3" i="2" s="1"/>
  <c r="ADT3" i="2" s="1"/>
  <c r="ADU3" i="2" s="1"/>
  <c r="ADV3" i="2" s="1"/>
  <c r="ADW3" i="2" s="1"/>
  <c r="ADX3" i="2" s="1"/>
  <c r="ADY3" i="2" s="1"/>
  <c r="ADZ3" i="2" s="1"/>
  <c r="AEA3" i="2" s="1"/>
  <c r="AEB3" i="2" s="1"/>
  <c r="AEC3" i="2" s="1"/>
  <c r="AED3" i="2" s="1"/>
  <c r="AEE3" i="2" s="1"/>
  <c r="AEF3" i="2" s="1"/>
  <c r="AEG3" i="2" s="1"/>
  <c r="AEH3" i="2" s="1"/>
  <c r="AEI3" i="2" s="1"/>
  <c r="AEJ3" i="2" s="1"/>
  <c r="AEK3" i="2" s="1"/>
  <c r="AEL3" i="2" s="1"/>
  <c r="AFK2" i="2" l="1"/>
  <c r="AFK3" i="2" s="1"/>
  <c r="AEM3" i="2"/>
  <c r="AEN3" i="2" s="1"/>
  <c r="AEO3" i="2" s="1"/>
  <c r="AEP3" i="2" s="1"/>
  <c r="AEQ3" i="2" s="1"/>
  <c r="AER3" i="2" s="1"/>
  <c r="AES3" i="2" s="1"/>
  <c r="AET3" i="2" s="1"/>
  <c r="AEU3" i="2" s="1"/>
  <c r="AEV3" i="2" s="1"/>
  <c r="AEW3" i="2" s="1"/>
  <c r="AEX3" i="2" s="1"/>
  <c r="AEY3" i="2" s="1"/>
  <c r="AEZ3" i="2" s="1"/>
  <c r="AFA3" i="2" s="1"/>
  <c r="AFB3" i="2" s="1"/>
  <c r="AFC3" i="2" s="1"/>
  <c r="AFD3" i="2" s="1"/>
  <c r="AFE3" i="2" s="1"/>
  <c r="AFF3" i="2" s="1"/>
  <c r="AFG3" i="2" s="1"/>
  <c r="AFH3" i="2" s="1"/>
  <c r="AFI3" i="2" s="1"/>
  <c r="AFJ3" i="2" s="1"/>
  <c r="AFL3" i="2" l="1"/>
  <c r="AFM3" i="2" s="1"/>
  <c r="AFN3" i="2" s="1"/>
  <c r="AFO3" i="2" s="1"/>
  <c r="AFP3" i="2" s="1"/>
  <c r="AFQ3" i="2" s="1"/>
  <c r="AFR3" i="2" s="1"/>
  <c r="AFS3" i="2" s="1"/>
  <c r="AFT3" i="2" s="1"/>
  <c r="AFU3" i="2" s="1"/>
  <c r="AFV3" i="2" s="1"/>
  <c r="AFW3" i="2" s="1"/>
  <c r="AFX3" i="2" s="1"/>
  <c r="AFY3" i="2" s="1"/>
  <c r="AFZ3" i="2" s="1"/>
  <c r="AGA3" i="2" s="1"/>
  <c r="AGB3" i="2" s="1"/>
  <c r="AGC3" i="2" s="1"/>
  <c r="AGD3" i="2" s="1"/>
  <c r="AGE3" i="2" s="1"/>
  <c r="AGF3" i="2" s="1"/>
  <c r="AGG3" i="2" s="1"/>
  <c r="AGH3" i="2" s="1"/>
  <c r="AGI2" i="2"/>
  <c r="AFK1" i="2"/>
  <c r="AHG2" i="2" l="1"/>
  <c r="AGI3" i="2"/>
  <c r="AGJ3" i="2" s="1"/>
  <c r="AGK3" i="2" s="1"/>
  <c r="AGL3" i="2" s="1"/>
  <c r="AGM3" i="2" s="1"/>
  <c r="AGN3" i="2" s="1"/>
  <c r="AGO3" i="2" s="1"/>
  <c r="AGP3" i="2" s="1"/>
  <c r="AGQ3" i="2" s="1"/>
  <c r="AGR3" i="2" s="1"/>
  <c r="AGS3" i="2" s="1"/>
  <c r="AGT3" i="2" s="1"/>
  <c r="AGU3" i="2" s="1"/>
  <c r="AGV3" i="2" s="1"/>
  <c r="AGW3" i="2" s="1"/>
  <c r="AGX3" i="2" s="1"/>
  <c r="AGY3" i="2" s="1"/>
  <c r="AGZ3" i="2" s="1"/>
  <c r="AHA3" i="2" s="1"/>
  <c r="AHB3" i="2" s="1"/>
  <c r="AHC3" i="2" s="1"/>
  <c r="AHD3" i="2" s="1"/>
  <c r="AHE3" i="2" s="1"/>
  <c r="AHF3" i="2" s="1"/>
  <c r="AIE2" i="2" l="1"/>
  <c r="AHG3" i="2"/>
  <c r="AHH3" i="2" s="1"/>
  <c r="AHI3" i="2" s="1"/>
  <c r="AHJ3" i="2" s="1"/>
  <c r="AHK3" i="2" s="1"/>
  <c r="AHL3" i="2" s="1"/>
  <c r="AHM3" i="2" s="1"/>
  <c r="AHN3" i="2" s="1"/>
  <c r="AHO3" i="2" s="1"/>
  <c r="AHP3" i="2" s="1"/>
  <c r="AHQ3" i="2" s="1"/>
  <c r="AHR3" i="2" s="1"/>
  <c r="AHS3" i="2" s="1"/>
  <c r="AHT3" i="2" s="1"/>
  <c r="AHU3" i="2" s="1"/>
  <c r="AHV3" i="2" s="1"/>
  <c r="AHW3" i="2" s="1"/>
  <c r="AHX3" i="2" s="1"/>
  <c r="AHY3" i="2" s="1"/>
  <c r="AHZ3" i="2" s="1"/>
  <c r="AIA3" i="2" s="1"/>
  <c r="AIB3" i="2" s="1"/>
  <c r="AIC3" i="2" s="1"/>
  <c r="AID3" i="2" s="1"/>
  <c r="AJC2" i="2" l="1"/>
  <c r="AJC3" i="2" s="1"/>
  <c r="AIE3" i="2"/>
  <c r="AIF3" i="2" s="1"/>
  <c r="AIG3" i="2" s="1"/>
  <c r="AIH3" i="2" s="1"/>
  <c r="AII3" i="2" s="1"/>
  <c r="AIJ3" i="2" s="1"/>
  <c r="AIK3" i="2" s="1"/>
  <c r="AIL3" i="2" s="1"/>
  <c r="AIM3" i="2" s="1"/>
  <c r="AIN3" i="2" s="1"/>
  <c r="AIO3" i="2" s="1"/>
  <c r="AIP3" i="2" s="1"/>
  <c r="AIQ3" i="2" s="1"/>
  <c r="AIR3" i="2" s="1"/>
  <c r="AIS3" i="2" s="1"/>
  <c r="AIT3" i="2" s="1"/>
  <c r="AIU3" i="2" s="1"/>
  <c r="AIV3" i="2" s="1"/>
  <c r="AIW3" i="2" s="1"/>
  <c r="AIX3" i="2" s="1"/>
  <c r="AIY3" i="2" s="1"/>
  <c r="AIZ3" i="2" s="1"/>
  <c r="AJA3" i="2" s="1"/>
  <c r="AJB3" i="2" s="1"/>
  <c r="AJD3" i="2" l="1"/>
  <c r="AJE3" i="2" s="1"/>
  <c r="AJF3" i="2" s="1"/>
  <c r="AJG3" i="2" s="1"/>
  <c r="AJH3" i="2" s="1"/>
  <c r="AJI3" i="2" s="1"/>
  <c r="AJJ3" i="2" s="1"/>
  <c r="AJK3" i="2" s="1"/>
  <c r="AJL3" i="2" s="1"/>
  <c r="AJM3" i="2" s="1"/>
  <c r="AJN3" i="2" s="1"/>
  <c r="AJO3" i="2" s="1"/>
  <c r="AJP3" i="2" s="1"/>
  <c r="AJQ3" i="2" s="1"/>
  <c r="AJR3" i="2" s="1"/>
  <c r="AJS3" i="2" s="1"/>
  <c r="AJT3" i="2" s="1"/>
  <c r="AJU3" i="2" s="1"/>
  <c r="AJV3" i="2" s="1"/>
  <c r="AJW3" i="2" s="1"/>
  <c r="AJX3" i="2" s="1"/>
  <c r="AJY3" i="2" s="1"/>
  <c r="AJZ3" i="2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918D6D6-C7DD-4B5F-BD93-0225C152EB99}" keepAlive="1" name="Connection" type="5" refreshedVersion="0" background="1">
    <dbPr connection="Provider=Microsoft.Mashup.OleDb.1;Data Source=$Workbook$;Location=Machines;Extended Properties=&quot;&quot;" commandType="0"/>
  </connection>
</connections>
</file>

<file path=xl/sharedStrings.xml><?xml version="1.0" encoding="utf-8"?>
<sst xmlns="http://schemas.openxmlformats.org/spreadsheetml/2006/main" count="1684" uniqueCount="1222">
  <si>
    <t>KIT 2</t>
  </si>
  <si>
    <t>Complete</t>
  </si>
  <si>
    <t>OKK</t>
  </si>
  <si>
    <t>KIT 1</t>
  </si>
  <si>
    <t>ROBO</t>
  </si>
  <si>
    <t>In Progress</t>
  </si>
  <si>
    <t>LAST_EDITED</t>
  </si>
  <si>
    <t>NHX</t>
  </si>
  <si>
    <t>TUM</t>
  </si>
  <si>
    <t>SUNDAY_START</t>
  </si>
  <si>
    <t>MONDAY_START</t>
  </si>
  <si>
    <t>TUESDAY_START</t>
  </si>
  <si>
    <t>THURSDAY_START</t>
  </si>
  <si>
    <t>SATURDAY_START</t>
  </si>
  <si>
    <t>SUNDAY_SHIFT_LENGTH_HRS</t>
  </si>
  <si>
    <t>SAW</t>
  </si>
  <si>
    <t>MONDAY_SHIFT_LENGTH_HRS</t>
  </si>
  <si>
    <t>TUESDAY_SHIFT_LENGTH_HRS</t>
  </si>
  <si>
    <t>WEDNESDAY_SHIFT_LENGTH_HRS</t>
  </si>
  <si>
    <t>THURSDAY_SHIFT_LENGTH_HRS</t>
  </si>
  <si>
    <t>FRIDAY_SHIFT_LENGTH_HRS</t>
  </si>
  <si>
    <t>SATURDAY_SHIFT_LENGTH_HRS</t>
  </si>
  <si>
    <t>DEFAULT</t>
  </si>
  <si>
    <t>RESOURCE_ID</t>
  </si>
  <si>
    <t>RESOURCE_NAME</t>
  </si>
  <si>
    <t>INFINITY QUICK TURN</t>
  </si>
  <si>
    <t>Not Yet Started</t>
  </si>
  <si>
    <t>XPEDITION</t>
  </si>
  <si>
    <t>ORP</t>
  </si>
  <si>
    <t>DAWN VME</t>
  </si>
  <si>
    <t>RUGGED PORTABLE</t>
  </si>
  <si>
    <t>A</t>
  </si>
  <si>
    <t>10-1009870-170</t>
  </si>
  <si>
    <t>STIFFENER</t>
  </si>
  <si>
    <t>10-1009870-96</t>
  </si>
  <si>
    <t>STIFFENER VME64X 8-SLT L=8.8IN</t>
  </si>
  <si>
    <t>10-1014522</t>
  </si>
  <si>
    <t>GUIDE, MODULE</t>
  </si>
  <si>
    <t>D</t>
  </si>
  <si>
    <t>10-1014523</t>
  </si>
  <si>
    <t>BLOCK, SPACER, ISIK</t>
  </si>
  <si>
    <t>E</t>
  </si>
  <si>
    <t>10-1014813</t>
  </si>
  <si>
    <t>GUIDE PLATE, CARD TOP MICROCAB</t>
  </si>
  <si>
    <t>10-1014814</t>
  </si>
  <si>
    <t>GUIDE PLT, TOP, MICROLAB</t>
  </si>
  <si>
    <t>10-1014860</t>
  </si>
  <si>
    <t>GUIDE PLATE, BOTTOM, BLACK</t>
  </si>
  <si>
    <t>10-1014861</t>
  </si>
  <si>
    <t>GUIDE PLATE TOP, BLACK</t>
  </si>
  <si>
    <t>10-1016330-01</t>
  </si>
  <si>
    <t>PLATE, SIDE, FIXTURE MODIFICATION</t>
  </si>
  <si>
    <t>C</t>
  </si>
  <si>
    <t>10-1016330-02</t>
  </si>
  <si>
    <t>10-1016331</t>
  </si>
  <si>
    <t>PLATE, REAR, FIXTURE</t>
  </si>
  <si>
    <t>10-1016332</t>
  </si>
  <si>
    <t>BLOCK, MOUNTING, B/P</t>
  </si>
  <si>
    <t>B</t>
  </si>
  <si>
    <t>10-1016675</t>
  </si>
  <si>
    <t>COVER, PRIMARY, FRAME</t>
  </si>
  <si>
    <t>B1</t>
  </si>
  <si>
    <t>10-1016677</t>
  </si>
  <si>
    <t>COVER, SECONDARY</t>
  </si>
  <si>
    <t>10-1016678-01</t>
  </si>
  <si>
    <t>HANDLE, EJECTOR</t>
  </si>
  <si>
    <t>10-1016678-02</t>
  </si>
  <si>
    <t>10-1017297</t>
  </si>
  <si>
    <t>FRAME, PRIMARY, HUM, 3U</t>
  </si>
  <si>
    <t>10-1017298</t>
  </si>
  <si>
    <t>COVER, ACCESS, HUM, 3U</t>
  </si>
  <si>
    <t>10-1017299</t>
  </si>
  <si>
    <t>COVER,SECONDARY,HUM,3U, VPX</t>
  </si>
  <si>
    <t>B.1</t>
  </si>
  <si>
    <t>10-1017664</t>
  </si>
  <si>
    <t>SPACER, REAR, 6U, VPX EXTENDER,CC</t>
  </si>
  <si>
    <t>10-1017665</t>
  </si>
  <si>
    <t>SPACER FRONT 6U VPX EXTENDER</t>
  </si>
  <si>
    <t>10-1017749</t>
  </si>
  <si>
    <t>COVER, REAR, VITA 62 P/S, AC</t>
  </si>
  <si>
    <t>G</t>
  </si>
  <si>
    <t>10-1017750</t>
  </si>
  <si>
    <t>FRAME, CC, 3U, P/S, AC, VITA 62, REV W/L MTG</t>
  </si>
  <si>
    <t xml:space="preserve"> F</t>
  </si>
  <si>
    <t>10-1017915-01</t>
  </si>
  <si>
    <t>FRAME, FRNT,HSNG,3U8HP, 1.26", AIR-COOLED, AC, BLK</t>
  </si>
  <si>
    <t>10-1018268</t>
  </si>
  <si>
    <t>STIFFENER, B/P, VPX, 6U,1 SLOT</t>
  </si>
  <si>
    <t>10-1018268-MOD</t>
  </si>
  <si>
    <t>STIFFENER, B/P, VPX, 6U 1 SLOT, MODIFICATION</t>
  </si>
  <si>
    <t>A1</t>
  </si>
  <si>
    <t>10-1018360-01</t>
  </si>
  <si>
    <t>GUIDES,CARD,5 SLOTVITA 48.2 COND, HYBRID</t>
  </si>
  <si>
    <t>10-1018415</t>
  </si>
  <si>
    <t>10-1018693-02</t>
  </si>
  <si>
    <t>COVER, REAR, 6234 P/S</t>
  </si>
  <si>
    <t>10-1018747-02</t>
  </si>
  <si>
    <t>FRAME,FRNT,PS,3U,V.62,CC,2NDARY</t>
  </si>
  <si>
    <t>10-1018747-12</t>
  </si>
  <si>
    <t>COVER, PRIMARY, VITA 62, P/S, D/C</t>
  </si>
  <si>
    <t>10-1018913</t>
  </si>
  <si>
    <t>PLATE, COVER, FRONT, 6U HOLD</t>
  </si>
  <si>
    <t>10-1018914</t>
  </si>
  <si>
    <t>COVER, REAR, 6U HOLDUP</t>
  </si>
  <si>
    <t>F</t>
  </si>
  <si>
    <t>10-1018915</t>
  </si>
  <si>
    <t>FRAME, FRONT, 6U HOLDUP</t>
  </si>
  <si>
    <t>10-1018950</t>
  </si>
  <si>
    <t>COVER, FRONT, P/S, 6U, AC</t>
  </si>
  <si>
    <t>H</t>
  </si>
  <si>
    <t>10-1018951</t>
  </si>
  <si>
    <t>COVER, REAR, P/S 6U, COND. COOLED</t>
  </si>
  <si>
    <t>10-1018951-01</t>
  </si>
  <si>
    <t>COVER, REAR, 265, PS, AIR-COOLED</t>
  </si>
  <si>
    <t>10-1019017</t>
  </si>
  <si>
    <t>FRAME,PRIMARY, CC, DITM, SECONDARY W/L</t>
  </si>
  <si>
    <t>10-1019031</t>
  </si>
  <si>
    <t>RAIL, CENTER</t>
  </si>
  <si>
    <t>10-1019263-02</t>
  </si>
  <si>
    <t>COVER, REAR, GREEN</t>
  </si>
  <si>
    <t>10-1019264-02</t>
  </si>
  <si>
    <t>FRAME</t>
  </si>
  <si>
    <t>10-1019711</t>
  </si>
  <si>
    <t>COVER, PRIMARY,AIR-COOLED,HUM(HOLD UP MODULE)</t>
  </si>
  <si>
    <t>10-1019712</t>
  </si>
  <si>
    <t>COVER, ACCESS, HUM,3U,AIR COOLED</t>
  </si>
  <si>
    <t>10-1019939-01</t>
  </si>
  <si>
    <t>SIFFENER, VITA 67.3, 6U</t>
  </si>
  <si>
    <t>10-1020074-12</t>
  </si>
  <si>
    <t>COVER,PRIMARY,VITA62, P/S, D/C, A/C</t>
  </si>
  <si>
    <t>10-1020196-02</t>
  </si>
  <si>
    <t>GUIDE,CARD,VITA 48.2 CONDUCTION COOLED</t>
  </si>
  <si>
    <t>10-1020338</t>
  </si>
  <si>
    <t>CRD GDE, CONDUCTION COOLED, 2IN WIDE, CSTM, ROCKWE</t>
  </si>
  <si>
    <t>10-1020398</t>
  </si>
  <si>
    <t>FRAME, CC, 3U P/S, 45W</t>
  </si>
  <si>
    <t>10-1020399</t>
  </si>
  <si>
    <t>COVER, REAR, 45W P/S</t>
  </si>
  <si>
    <t>10-1020434</t>
  </si>
  <si>
    <t>STIFFENER, 3U1SVPX, CSTM FO</t>
  </si>
  <si>
    <t>10-1020636</t>
  </si>
  <si>
    <t>COVER, FRONT, 265, PS, AIR COOLED, 1.2INCH CSTM 90</t>
  </si>
  <si>
    <t>10-1020651</t>
  </si>
  <si>
    <t>STFNR, 6U1SVPX W/ VITA 67.3 CUTOUT, CSTM</t>
  </si>
  <si>
    <t>10-INSERTS</t>
  </si>
  <si>
    <t>PLASTIC INSERT FOR DAWN RAILS</t>
  </si>
  <si>
    <t>125-10030327</t>
  </si>
  <si>
    <t>S-Class Dual Screen Extended Foot w/ Slider</t>
  </si>
  <si>
    <t>125-10030341</t>
  </si>
  <si>
    <t>Retainer Block Used on S-Class</t>
  </si>
  <si>
    <t>125-10030362</t>
  </si>
  <si>
    <t>2 Drive Plate w/ through hole notch added</t>
  </si>
  <si>
    <t>125-10550288</t>
  </si>
  <si>
    <t>HDPAC4 Harddrive Guide Plate</t>
  </si>
  <si>
    <t>125-10550289</t>
  </si>
  <si>
    <t>HDPAC4 Hardrive Back Plate</t>
  </si>
  <si>
    <t>125-10550455</t>
  </si>
  <si>
    <t>MODIFIED 287B HARDDRIVE T-RAIL</t>
  </si>
  <si>
    <t>125-10550952</t>
  </si>
  <si>
    <t>Harddrive Rail (3 Hole)</t>
  </si>
  <si>
    <t>125-10680112</t>
  </si>
  <si>
    <t>A-Class Exo-Skeleton Side Plate Assy</t>
  </si>
  <si>
    <t>125-10680114</t>
  </si>
  <si>
    <t>A-CLASS EXOSKELETON SIDE PLATE ASSY, RIGHT</t>
  </si>
  <si>
    <t>125-10680119</t>
  </si>
  <si>
    <t>A-Class Exo-Skeleton Chassis Rail, Right</t>
  </si>
  <si>
    <t>125-10680120</t>
  </si>
  <si>
    <t>A-CLASS EXOSKELETON CHASSIS RAIL, LEFT</t>
  </si>
  <si>
    <t>125-10680123</t>
  </si>
  <si>
    <t>A-Class Exo-Skeleton Side Plate Assy. Left</t>
  </si>
  <si>
    <t>125-10680129</t>
  </si>
  <si>
    <t>SLIDER FOOT</t>
  </si>
  <si>
    <t>125-1068114</t>
  </si>
  <si>
    <t>A-Class Exo-Skeleton Side Base Plate</t>
  </si>
  <si>
    <t>125-1068120</t>
  </si>
  <si>
    <t>A-Class Exo-Skeleton Chassis Rail, Left</t>
  </si>
  <si>
    <t>125-10720139</t>
  </si>
  <si>
    <t>RETAINER, MAGNET</t>
  </si>
  <si>
    <t>125-10730119</t>
  </si>
  <si>
    <t>LOW PROFILE HD GUIDE, RIGHT</t>
  </si>
  <si>
    <t>125-10730120</t>
  </si>
  <si>
    <t>LOW PROFILE HD PLATE, REAR</t>
  </si>
  <si>
    <t>125-10750112</t>
  </si>
  <si>
    <t>FOOT DOCK</t>
  </si>
  <si>
    <t>125-10750146</t>
  </si>
  <si>
    <t>FOOT RELEASE</t>
  </si>
  <si>
    <t>125-10750201</t>
  </si>
  <si>
    <t>NGC CHASSIS 2.5" HD RAILS</t>
  </si>
  <si>
    <t>125-11230316</t>
  </si>
  <si>
    <t>DISPLAY CATCH</t>
  </si>
  <si>
    <t>125-11230361</t>
  </si>
  <si>
    <t>FOOT EXTENSION</t>
  </si>
  <si>
    <t>125-11230503</t>
  </si>
  <si>
    <t>FOOT, TRIPLE SCREEN</t>
  </si>
  <si>
    <t>125-11270115</t>
  </si>
  <si>
    <t>DISPLAY REST, RIGHT</t>
  </si>
  <si>
    <t>125-11270116</t>
  </si>
  <si>
    <t>DISPLAY REST, LEFT</t>
  </si>
  <si>
    <t>125-11270118</t>
  </si>
  <si>
    <t>DISPLAY REST, RIGHT TRIPLE</t>
  </si>
  <si>
    <t>125-11270119</t>
  </si>
  <si>
    <t>DISPLAY REST, LEFT TRIPLE</t>
  </si>
  <si>
    <t>125-11270140</t>
  </si>
  <si>
    <t>CLUTCH HOUSING</t>
  </si>
  <si>
    <t>125-11270141</t>
  </si>
  <si>
    <t>INNER SQUEEZE</t>
  </si>
  <si>
    <t>125-11270240</t>
  </si>
  <si>
    <t>CLUTCH HOUSING, OPP</t>
  </si>
  <si>
    <t>125-11300139</t>
  </si>
  <si>
    <t>DUAL USB 3.0 BRACKET</t>
  </si>
  <si>
    <t>125-11300173</t>
  </si>
  <si>
    <t>HEATSINK</t>
  </si>
  <si>
    <t>125-11300505</t>
  </si>
  <si>
    <t>LEG REST, LEFT</t>
  </si>
  <si>
    <t>125-11300555</t>
  </si>
  <si>
    <t>LEG REST, RIGHT</t>
  </si>
  <si>
    <t>125-11520203</t>
  </si>
  <si>
    <t>CROSS MEMBER</t>
  </si>
  <si>
    <t>125-11520204</t>
  </si>
  <si>
    <t>HINGE PIN</t>
  </si>
  <si>
    <t>125-11520208</t>
  </si>
  <si>
    <t>CONNECTOR BRACKET</t>
  </si>
  <si>
    <t>125-11520209</t>
  </si>
  <si>
    <t>EXTENSION FOOT</t>
  </si>
  <si>
    <t>125-11520698</t>
  </si>
  <si>
    <t>DRIVE BLANK</t>
  </si>
  <si>
    <t>125-11600117</t>
  </si>
  <si>
    <t>HEATSINK, STPS80L60CY</t>
  </si>
  <si>
    <t>125-11610100</t>
  </si>
  <si>
    <t>MACHINED BACK SHELL</t>
  </si>
  <si>
    <t>125-11610125</t>
  </si>
  <si>
    <t>OUTBOARD DISPLAY BEZEL</t>
  </si>
  <si>
    <t>125-11610130</t>
  </si>
  <si>
    <t>DRIVE DOOR HINGE</t>
  </si>
  <si>
    <t>125-11610136</t>
  </si>
  <si>
    <t>DRIVE, PULL RING</t>
  </si>
  <si>
    <t>125-11610156</t>
  </si>
  <si>
    <t>DISPLAY ROLLER SEAL</t>
  </si>
  <si>
    <t>125-11610163</t>
  </si>
  <si>
    <t>SLIDER RAIL</t>
  </si>
  <si>
    <t>125-11610164</t>
  </si>
  <si>
    <t>SLIDER</t>
  </si>
  <si>
    <t>125-11610170</t>
  </si>
  <si>
    <t>WEDGE EXTRUSION, MACHINED DISPLAY SIDE</t>
  </si>
  <si>
    <t>125-11610171</t>
  </si>
  <si>
    <t>WEDGE EXTRUSION, MACHINED COMPUTER SIDE</t>
  </si>
  <si>
    <t xml:space="preserve">  C</t>
  </si>
  <si>
    <t>125-11610225</t>
  </si>
  <si>
    <t>INBOARD DISPLAY BEZEL</t>
  </si>
  <si>
    <t>125-11610300</t>
  </si>
  <si>
    <t>PS WELL</t>
  </si>
  <si>
    <t>125-11610503</t>
  </si>
  <si>
    <t>FOOT, SLIDER</t>
  </si>
  <si>
    <t>125-11610511</t>
  </si>
  <si>
    <t>EXTENSION, FRONT</t>
  </si>
  <si>
    <t>125-11610550</t>
  </si>
  <si>
    <t>FOOT, TOP</t>
  </si>
  <si>
    <t>125-11610606</t>
  </si>
  <si>
    <t>TORQUE HINGE BOTTOM</t>
  </si>
  <si>
    <t>125-11610607</t>
  </si>
  <si>
    <t>TORQUE HINGE TOP</t>
  </si>
  <si>
    <t>125-11611001</t>
  </si>
  <si>
    <t>CUSTOM FIXTURE FOR MESA PANEL</t>
  </si>
  <si>
    <t>125-11620105</t>
  </si>
  <si>
    <t>8X2.5 REM HD BOTTOM PLATE</t>
  </si>
  <si>
    <t>125-11620106</t>
  </si>
  <si>
    <t>8X 2.5 REM HD LR SIDE PLATE</t>
  </si>
  <si>
    <t>125-11620108</t>
  </si>
  <si>
    <t>8X2.5 REM HD RETAINER BLOCK</t>
  </si>
  <si>
    <t>125-11620132</t>
  </si>
  <si>
    <t>DRIVE FACEPLATE 2.5X2 WITH PERF</t>
  </si>
  <si>
    <t>125-11620202</t>
  </si>
  <si>
    <t>2.5X14.5MM REM TOP PLATE</t>
  </si>
  <si>
    <t>125-11620203</t>
  </si>
  <si>
    <t>2.5X1.4MM REM HD BOTTOM PLATE</t>
  </si>
  <si>
    <t>125-11620804</t>
  </si>
  <si>
    <t>2.5 REM TOP PLATE SINGLE 2.5''(QTY 1-8)</t>
  </si>
  <si>
    <t>125-11650221</t>
  </si>
  <si>
    <t>DRIVE HANDLE ABR 8 DRIVE</t>
  </si>
  <si>
    <t>125-11670218</t>
  </si>
  <si>
    <t>CUBE II UPS HEAT TRANSFER PLATE</t>
  </si>
  <si>
    <t>125-11670219</t>
  </si>
  <si>
    <t>CUBE 2 FILTER LATCH</t>
  </si>
  <si>
    <t>125-11670315</t>
  </si>
  <si>
    <t>8 DRIVE CATCH</t>
  </si>
  <si>
    <t>125-11730100</t>
  </si>
  <si>
    <t>HARDDRIVE RAIL, LEFT</t>
  </si>
  <si>
    <t>125-11730101</t>
  </si>
  <si>
    <t>3.5" BACKPLANE SUPPORT BRACKET</t>
  </si>
  <si>
    <t>125-11730360</t>
  </si>
  <si>
    <t>HARDRIVE GUIDE PLATE</t>
  </si>
  <si>
    <t>125-11730925</t>
  </si>
  <si>
    <t>NVME CONNECTOR BRACKET, S CLASS</t>
  </si>
  <si>
    <t>125-11790129</t>
  </si>
  <si>
    <t>RAIL LEFT</t>
  </si>
  <si>
    <t>125-11790130</t>
  </si>
  <si>
    <t>RAIL RIGHT</t>
  </si>
  <si>
    <t>125-11790134</t>
  </si>
  <si>
    <t>2 DRIVE FRONT COVER W/ KEYED HOLE</t>
  </si>
  <si>
    <t>125-11790136</t>
  </si>
  <si>
    <t>AC LOCKOUT RETAINER</t>
  </si>
  <si>
    <t>125-11790137</t>
  </si>
  <si>
    <t>AC LOCKOUT (DELRIN)</t>
  </si>
  <si>
    <t>125-11790138</t>
  </si>
  <si>
    <t>125-11790308</t>
  </si>
  <si>
    <t>DRIVE FRONT COVER/EXHAUST</t>
  </si>
  <si>
    <t>125-11820183</t>
  </si>
  <si>
    <t>DUAL HD FACE PLATE</t>
  </si>
  <si>
    <t>125-11820186</t>
  </si>
  <si>
    <t>125-11820188</t>
  </si>
  <si>
    <t>DUAL DRIVE RAIL</t>
  </si>
  <si>
    <t>125-11890114</t>
  </si>
  <si>
    <t>LINK, MESAPAC</t>
  </si>
  <si>
    <t>125-11890119</t>
  </si>
  <si>
    <t>HINGE KEEPER, MESAPAC</t>
  </si>
  <si>
    <t>125-11940112</t>
  </si>
  <si>
    <t>CONNECTOR CLAMP</t>
  </si>
  <si>
    <t>125-11940118</t>
  </si>
  <si>
    <t>DRIVE RAIL, LEFT</t>
  </si>
  <si>
    <t>125-11940121</t>
  </si>
  <si>
    <t>MACHINED DRIVE RAIL</t>
  </si>
  <si>
    <t>125-11940125</t>
  </si>
  <si>
    <t>125-11940148</t>
  </si>
  <si>
    <t>5MM FAN SPACER</t>
  </si>
  <si>
    <t>125-11940167</t>
  </si>
  <si>
    <t>HINGE ADAPTER</t>
  </si>
  <si>
    <t>125-11940181</t>
  </si>
  <si>
    <t>BATTERY TRAY</t>
  </si>
  <si>
    <t>125-11940189</t>
  </si>
  <si>
    <t>TRAY SLIDE</t>
  </si>
  <si>
    <t>125-11940190</t>
  </si>
  <si>
    <t>DUAL USB 3.0 BRACKET, MINIRAX</t>
  </si>
  <si>
    <t>125-11940195</t>
  </si>
  <si>
    <t>MACHINED DRIVE RAIL, LEFT, 15MM</t>
  </si>
  <si>
    <t>125-11940196</t>
  </si>
  <si>
    <t>MACHINED DRIVE RAIL, RIGHT, 15MM</t>
  </si>
  <si>
    <t>125-11940197</t>
  </si>
  <si>
    <t>U.2 SFF-8639 CONNECTOR BRACKET</t>
  </si>
  <si>
    <t>125-11940215</t>
  </si>
  <si>
    <t>MACHINED BLOW THRU DRIVE RAIL, LEFT</t>
  </si>
  <si>
    <t>125-11940216</t>
  </si>
  <si>
    <t>MACHINED DRIVE RAIL, RIGHT</t>
  </si>
  <si>
    <t>125-12230102</t>
  </si>
  <si>
    <t>LOWER HINGE SUPPORT, LEFT</t>
  </si>
  <si>
    <t>125-12230103</t>
  </si>
  <si>
    <t>LOWER HINGE SUPPORT, RIGHT</t>
  </si>
  <si>
    <t>125-12230200</t>
  </si>
  <si>
    <t>HINGE</t>
  </si>
  <si>
    <t>125-12230201</t>
  </si>
  <si>
    <t>LATCH CATCH</t>
  </si>
  <si>
    <t>125-12240102</t>
  </si>
  <si>
    <t>OUTER HINGE CLUTCH HOUSING</t>
  </si>
  <si>
    <t>125-12240103</t>
  </si>
  <si>
    <t>INNER HINGE CLUTCH HOUSING</t>
  </si>
  <si>
    <t>125-12240105</t>
  </si>
  <si>
    <t>HINGE(NON-CLUTCH), SIDE A</t>
  </si>
  <si>
    <t>125-12240106</t>
  </si>
  <si>
    <t>HINGE(NON-CLUTCH), SIDE B</t>
  </si>
  <si>
    <t>125-12240108</t>
  </si>
  <si>
    <t>CLUTCH</t>
  </si>
  <si>
    <t>125-12240109</t>
  </si>
  <si>
    <t>MACHINED EXTRUSION, RECIEVER</t>
  </si>
  <si>
    <t>125-12240110</t>
  </si>
  <si>
    <t>OUTER HINGE CLUTCH HOUSING, TRIPLE</t>
  </si>
  <si>
    <t>125-12240111</t>
  </si>
  <si>
    <t>INNER HINGE CLUTCH HOUSING TRIPLE</t>
  </si>
  <si>
    <t>125-12240112</t>
  </si>
  <si>
    <t>HINGE, (NON CLUTCH), SIDE B, TRIPLE</t>
  </si>
  <si>
    <t>125-12240113</t>
  </si>
  <si>
    <t>HINGE (NON CLUTCH), SIDE A, TRIPLE</t>
  </si>
  <si>
    <t>125-12240114</t>
  </si>
  <si>
    <t>FFDS LATCH, TRIPLE SCREEN</t>
  </si>
  <si>
    <t>125-12240115</t>
  </si>
  <si>
    <t>FFDS LATCH, DUAL SCREEN</t>
  </si>
  <si>
    <t>125-12240116</t>
  </si>
  <si>
    <t>125-12240117</t>
  </si>
  <si>
    <t>125-12240118</t>
  </si>
  <si>
    <t>HINGE NON CLUTCH SIDE</t>
  </si>
  <si>
    <t>125-12240119</t>
  </si>
  <si>
    <t>HINGLE NON CLUTCH SIDE B</t>
  </si>
  <si>
    <t>125-12270109</t>
  </si>
  <si>
    <t>CATCH, CHASSIS SIDE</t>
  </si>
  <si>
    <t>125-12820107</t>
  </si>
  <si>
    <t>CROSSMEMBER</t>
  </si>
  <si>
    <t>125-12820108</t>
  </si>
  <si>
    <t>8X15MM DRIVE HANDLE</t>
  </si>
  <si>
    <t>125-12820109</t>
  </si>
  <si>
    <t>RELEASE</t>
  </si>
  <si>
    <t>125-12820110</t>
  </si>
  <si>
    <t>LATCH</t>
  </si>
  <si>
    <t>125-12820111</t>
  </si>
  <si>
    <t>CATCH</t>
  </si>
  <si>
    <t>125-12820120</t>
  </si>
  <si>
    <t>DRIVE MAG CATCH</t>
  </si>
  <si>
    <t>125-12820126</t>
  </si>
  <si>
    <t>PS FILLER, RIGHT</t>
  </si>
  <si>
    <t>125-12820127</t>
  </si>
  <si>
    <t>PS FILLER, LEFT</t>
  </si>
  <si>
    <t>125-12820133</t>
  </si>
  <si>
    <t>BATTERY ACCESS DOOR</t>
  </si>
  <si>
    <t>125-12820134</t>
  </si>
  <si>
    <t>GUSSET, RIGHT</t>
  </si>
  <si>
    <t>125-12820140</t>
  </si>
  <si>
    <t>RAIL</t>
  </si>
  <si>
    <t>125-12820141</t>
  </si>
  <si>
    <t>DELRIN SLIDE, L/R</t>
  </si>
  <si>
    <t>125-12820142</t>
  </si>
  <si>
    <t>LATCH HOUSING, LEFT</t>
  </si>
  <si>
    <t>125-12820144</t>
  </si>
  <si>
    <t>LATCH HOUSING, RIGHT</t>
  </si>
  <si>
    <t>125-12820145</t>
  </si>
  <si>
    <t>UNIT SUPPORT, LEFT</t>
  </si>
  <si>
    <t>125-12820146</t>
  </si>
  <si>
    <t>UNIT SUPPORT, RIGHT</t>
  </si>
  <si>
    <t>125-12820147</t>
  </si>
  <si>
    <t>INTERMEDIATE BRACE</t>
  </si>
  <si>
    <t>125-12820151</t>
  </si>
  <si>
    <t>GUSSET, LEFT</t>
  </si>
  <si>
    <t>125-12820162</t>
  </si>
  <si>
    <t>DELRIN SLIDE, RIGHT</t>
  </si>
  <si>
    <t>125-12820207</t>
  </si>
  <si>
    <t>125-12820208</t>
  </si>
  <si>
    <t>125-12820209</t>
  </si>
  <si>
    <t>125-12820210</t>
  </si>
  <si>
    <t>125-12820211</t>
  </si>
  <si>
    <t>125-12820220</t>
  </si>
  <si>
    <t>125-12820241</t>
  </si>
  <si>
    <t>HINGE BRACKET, RIGHT</t>
  </si>
  <si>
    <t>125-12820242</t>
  </si>
  <si>
    <t>HINGE BRACKET, LEFT</t>
  </si>
  <si>
    <t>125-12860100</t>
  </si>
  <si>
    <t>DPAC24 MACHINED FRONT BEZEL</t>
  </si>
  <si>
    <t>125-12860128</t>
  </si>
  <si>
    <t>HEATER SWITCH RETENTION BRACKET</t>
  </si>
  <si>
    <t>125-12860200</t>
  </si>
  <si>
    <t>DPAC24 MACHINED REAR COVER</t>
  </si>
  <si>
    <t>125-12860300</t>
  </si>
  <si>
    <t>MACHINED REAR COVER</t>
  </si>
  <si>
    <t>125-12880104</t>
  </si>
  <si>
    <t>IPUPS TEAINER BRACKET</t>
  </si>
  <si>
    <t>125-12880116</t>
  </si>
  <si>
    <t>IPUPS RERTAINER BRACKET, INNER</t>
  </si>
  <si>
    <t>125-12890101</t>
  </si>
  <si>
    <t>LATCH BODY</t>
  </si>
  <si>
    <t>125-12890106</t>
  </si>
  <si>
    <t>FOOT, LEFT ADJUSTABLE</t>
  </si>
  <si>
    <t>125-12890107</t>
  </si>
  <si>
    <t>FOOT, RIGHT ADJUSTABLE</t>
  </si>
  <si>
    <t>125-12890110</t>
  </si>
  <si>
    <t>ROLLER</t>
  </si>
  <si>
    <t>125-12890111</t>
  </si>
  <si>
    <t>SLIDE</t>
  </si>
  <si>
    <t>125-12890115</t>
  </si>
  <si>
    <t>RECEIVER, RIGHT ADJUSTABLE</t>
  </si>
  <si>
    <t>125-12890116</t>
  </si>
  <si>
    <t>RECEIVER, LEFT ADJUSTABLE</t>
  </si>
  <si>
    <t>125-13010030</t>
  </si>
  <si>
    <t>DRILL FIXTURE 24.1 SCREEN, TOP</t>
  </si>
  <si>
    <t>125-13010031</t>
  </si>
  <si>
    <t>DRILL FIXTURE, 24.1 SCREEN, BOTTOM</t>
  </si>
  <si>
    <t>125-13100101</t>
  </si>
  <si>
    <t>8 DEGREE FIXED FOOT EXTENDED</t>
  </si>
  <si>
    <t>125-13110103</t>
  </si>
  <si>
    <t>EXTENDED FOOT DOCK</t>
  </si>
  <si>
    <t>125-13140125</t>
  </si>
  <si>
    <t>VERTICAL FFDS LINK</t>
  </si>
  <si>
    <t>125-13150100</t>
  </si>
  <si>
    <t>125-13150107</t>
  </si>
  <si>
    <t>HINGE HOUSING</t>
  </si>
  <si>
    <t>125-13150124</t>
  </si>
  <si>
    <t>125-13170105</t>
  </si>
  <si>
    <t>8 DEGREE FIXED FOOT</t>
  </si>
  <si>
    <t>125-13170106</t>
  </si>
  <si>
    <t>PCI CARD MOUNT, MESAPAC</t>
  </si>
  <si>
    <t>125-13170107</t>
  </si>
  <si>
    <t>MESAPAC DRIVE ACCESS DOOR</t>
  </si>
  <si>
    <t>125-13170113</t>
  </si>
  <si>
    <t>BAILING LATCH</t>
  </si>
  <si>
    <t>125-13170116</t>
  </si>
  <si>
    <t>18.5  DISPLAY BEZEL, MAIN, MESAPAC</t>
  </si>
  <si>
    <t>125-13170118</t>
  </si>
  <si>
    <t>BACKSHELL, MESAPAC</t>
  </si>
  <si>
    <t>125-13170119</t>
  </si>
  <si>
    <t>SODIMMS MEMORT BINDER, MEMBER 1</t>
  </si>
  <si>
    <t>125-13170120</t>
  </si>
  <si>
    <t>SODIMMS MEMORY BINDER, MEMBER 2</t>
  </si>
  <si>
    <t>125-13170121</t>
  </si>
  <si>
    <t>BACKSHELL OUTBOARD DISPLAY, MESAPAC</t>
  </si>
  <si>
    <t>125-13170122</t>
  </si>
  <si>
    <t>CABLE SEAL, OUTBOARD DISPLAY, MESAPAC</t>
  </si>
  <si>
    <t>125-13170136</t>
  </si>
  <si>
    <t>MESAPAC FOOT DOCK</t>
  </si>
  <si>
    <t>125-13170137</t>
  </si>
  <si>
    <t>DRIVE WALL, RIGHT, MESAPAC</t>
  </si>
  <si>
    <t>125-13170138</t>
  </si>
  <si>
    <t>DRIVE WALL, LEFT, MESAPAC</t>
  </si>
  <si>
    <t>125-13170176</t>
  </si>
  <si>
    <t>18.5 DISPLAY BEZEL</t>
  </si>
  <si>
    <t>125-13170177</t>
  </si>
  <si>
    <t>125-13170179</t>
  </si>
  <si>
    <t>BACKSHELL, OUTBOARD</t>
  </si>
  <si>
    <t>125-13170180</t>
  </si>
  <si>
    <t>DRIVE ACCESS DOOR</t>
  </si>
  <si>
    <t>125-13170199</t>
  </si>
  <si>
    <t>MOUNT PLATE</t>
  </si>
  <si>
    <t>125-13180146</t>
  </si>
  <si>
    <t>EXTENDABLE LEG</t>
  </si>
  <si>
    <t>125-13190117</t>
  </si>
  <si>
    <t>125-30560104A</t>
  </si>
  <si>
    <t>RACK CASE RETAINER, RIGHT</t>
  </si>
  <si>
    <t>125-30590105</t>
  </si>
  <si>
    <t>RACK CASE RETAINER, LEFT</t>
  </si>
  <si>
    <t>83-1019506-B</t>
  </si>
  <si>
    <t>RAIL,XTRD,160MM,INJ/EJCT</t>
  </si>
  <si>
    <t>83-1019506-T</t>
  </si>
  <si>
    <t>83-1020888-B</t>
  </si>
  <si>
    <t>RAIL, BOTTOM</t>
  </si>
  <si>
    <t>83-1020888-T</t>
  </si>
  <si>
    <t>RAIL, TOP</t>
  </si>
  <si>
    <t>83-1020889-B</t>
  </si>
  <si>
    <t>83-1020889-T</t>
  </si>
  <si>
    <t>83-1021067-B</t>
  </si>
  <si>
    <t>83-1021067-T</t>
  </si>
  <si>
    <t>83-1600015-B</t>
  </si>
  <si>
    <t>83-1600015-T</t>
  </si>
  <si>
    <t>83-160A015-B</t>
  </si>
  <si>
    <t>A2</t>
  </si>
  <si>
    <t>83-160A015-T</t>
  </si>
  <si>
    <t>84-1017991-B</t>
  </si>
  <si>
    <t>84-1017991-T</t>
  </si>
  <si>
    <t>84-1017992-B</t>
  </si>
  <si>
    <t>84-1017992-T</t>
  </si>
  <si>
    <t>84-1019403-B</t>
  </si>
  <si>
    <t>RAIL, EXTRUSION, 160MM W/INJ/EJCT NYLON INSERTS</t>
  </si>
  <si>
    <t>84-1019403-T</t>
  </si>
  <si>
    <t>84-1019404-B</t>
  </si>
  <si>
    <t>RAIL, EXTRUSION, 80TM E/INJ/EJCT NYLON INSERTS</t>
  </si>
  <si>
    <t>84-1019404-T</t>
  </si>
  <si>
    <t>84-1600021-B</t>
  </si>
  <si>
    <t>84-1600021-T</t>
  </si>
  <si>
    <t>AKR-SPROCKETGUARD</t>
  </si>
  <si>
    <t>SPROCKET GUARD FULL SET</t>
  </si>
  <si>
    <t>FRE-115462-0</t>
  </si>
  <si>
    <t>SLEEVE ADAPTER</t>
  </si>
  <si>
    <t>GG-RAIL</t>
  </si>
  <si>
    <t>DISPLAY RAIL MACHINED FROM BLACK HDPE AND TUMBLED</t>
  </si>
  <si>
    <t>GMK-340-0036-R01</t>
  </si>
  <si>
    <t>ADAPTER</t>
  </si>
  <si>
    <t>GMK-510-0002</t>
  </si>
  <si>
    <t>FRONT MOUNT</t>
  </si>
  <si>
    <t>GMK-520-0021-R01</t>
  </si>
  <si>
    <t>CYLDER HEAD, PLUG</t>
  </si>
  <si>
    <t>GMK-540-0049</t>
  </si>
  <si>
    <t>BRACKET, 7" TO 2" TUBE</t>
  </si>
  <si>
    <t>GMK-730-0012</t>
  </si>
  <si>
    <t>GCS CONNECTOR MOUNT INSET FAN</t>
  </si>
  <si>
    <t>GMK-ENGINE MOUNT</t>
  </si>
  <si>
    <t>MACHINE 510-0001-R03 REAR ENGINE MOUNT</t>
  </si>
  <si>
    <t>IDL-100209</t>
  </si>
  <si>
    <t>AR15 DI GAS KEY 4140/4130</t>
  </si>
  <si>
    <t>IDL-100253</t>
  </si>
  <si>
    <t>AR15 SIDE CHARGER RECIEVER DESIGN 1 7075</t>
  </si>
  <si>
    <t>IDL-100365</t>
  </si>
  <si>
    <t>AR15 ALUMINUM DUST COVER DESIGN 2 BODY</t>
  </si>
  <si>
    <t>IDL-CLAMP LEVER</t>
  </si>
  <si>
    <t>SMALL CLAMP, REV A</t>
  </si>
  <si>
    <t>IQ-11600117</t>
  </si>
  <si>
    <t>IQ-57101922</t>
  </si>
  <si>
    <t>HOUSING ES-200/ES-202 WAVESPRING</t>
  </si>
  <si>
    <t>IQ-57101922(7.3)</t>
  </si>
  <si>
    <t>IQ-57138280</t>
  </si>
  <si>
    <t>ES-202 EMISSOMETER MOUNT</t>
  </si>
  <si>
    <t>IQ-57138333</t>
  </si>
  <si>
    <t>MOUNT ES-200 PHOTODIODES</t>
  </si>
  <si>
    <t>IQ-ENG-2248-01A</t>
  </si>
  <si>
    <t>RTA HOUSING</t>
  </si>
  <si>
    <t>IQ-ENG-2249-01A</t>
  </si>
  <si>
    <t>RTA HOUSING COVER</t>
  </si>
  <si>
    <t>IQ-ENG-2250-01A</t>
  </si>
  <si>
    <t>RTA LENS TUBE FROM 6061-T6</t>
  </si>
  <si>
    <t>IQ-ENG-2251-01</t>
  </si>
  <si>
    <t>RTA SPACER PHOTODIODE</t>
  </si>
  <si>
    <t>IQ-ENG-2252-04</t>
  </si>
  <si>
    <t>RTA LENS SPACER (BLACK DELRIN)</t>
  </si>
  <si>
    <t>IQ-ENG-2255-01</t>
  </si>
  <si>
    <t>RTA SLEEVE EXT THD HOLDING</t>
  </si>
  <si>
    <t>IQ-ENG-2255-01A</t>
  </si>
  <si>
    <t>IQ-ENG-2256-02</t>
  </si>
  <si>
    <t>RTA LP PROTECTION CYLINDER</t>
  </si>
  <si>
    <t>IQ-ENG-2266-03</t>
  </si>
  <si>
    <t>RTA SLEEVE CHAMBER 303 STAINLESS</t>
  </si>
  <si>
    <t>IQ-ENG-2278-02</t>
  </si>
  <si>
    <t>RADIANCE HOUSING</t>
  </si>
  <si>
    <t>IQ-ENG-2279-02</t>
  </si>
  <si>
    <t>RADIANCE DETECTOR MOUNT</t>
  </si>
  <si>
    <t>IQ-ENG-2280</t>
  </si>
  <si>
    <t>HOUSING COVER PLATE</t>
  </si>
  <si>
    <t>IQ-ENG-2280-01</t>
  </si>
  <si>
    <t>RADIANCE COVER PLATE</t>
  </si>
  <si>
    <t>IQ-ENG-2283-01</t>
  </si>
  <si>
    <t>RTA REF LP SLEEVE SHORT</t>
  </si>
  <si>
    <t>JK-SPINDLES 1</t>
  </si>
  <si>
    <t>RIGHT SPINDLE</t>
  </si>
  <si>
    <t>JK-SPINDLES 2</t>
  </si>
  <si>
    <t>LEFT SPINDLE</t>
  </si>
  <si>
    <t>KD-KRP1002</t>
  </si>
  <si>
    <t>SLIM TAKEDOWN LEVER-BLK</t>
  </si>
  <si>
    <t>KRP-100001-02</t>
  </si>
  <si>
    <t>PRO ADJUST FLAT TRIGGER</t>
  </si>
  <si>
    <t>K1</t>
  </si>
  <si>
    <t>KRP-10000-S</t>
  </si>
  <si>
    <t>PRO ACTION TRIGGER BLK STEEL</t>
  </si>
  <si>
    <t>KRP-10001-S</t>
  </si>
  <si>
    <t>PRO ADJUST TRIGGER BLK STEEL</t>
  </si>
  <si>
    <t>KRP-10052</t>
  </si>
  <si>
    <t>PRO COMP EXTENDED MAG RELEASE</t>
  </si>
  <si>
    <t>OA-01</t>
  </si>
  <si>
    <t>TUBE END CAP</t>
  </si>
  <si>
    <t>OA-02</t>
  </si>
  <si>
    <t>PERFORATED ALUMINUM TUBE FOR TACTICAL MODAL</t>
  </si>
  <si>
    <t>OA-03</t>
  </si>
  <si>
    <t>ROD CLAMP FOR ARROW GRIPPER</t>
  </si>
  <si>
    <t>OA-05</t>
  </si>
  <si>
    <t>MACHINED HOOD</t>
  </si>
  <si>
    <t>OA-06</t>
  </si>
  <si>
    <t>BOW ATTACHMENT BLOCK</t>
  </si>
  <si>
    <t>OA-07</t>
  </si>
  <si>
    <t>CAM LEVER FOR BOW ATTACH</t>
  </si>
  <si>
    <t>OA-08</t>
  </si>
  <si>
    <t>VERTICAL MOUNT BLOCK</t>
  </si>
  <si>
    <t>OA-09</t>
  </si>
  <si>
    <t>TOP HALF VERTICAL MOUNT ROD CLAMP</t>
  </si>
  <si>
    <t>OA-10</t>
  </si>
  <si>
    <t>ADJUST PLATE VERTICAL MOUNT ROD CLAMP</t>
  </si>
  <si>
    <t>OA-101</t>
  </si>
  <si>
    <t>BOW MOUNT BLOCK</t>
  </si>
  <si>
    <t>OA-102</t>
  </si>
  <si>
    <t>EXTENSION BAR</t>
  </si>
  <si>
    <t>OA-102D</t>
  </si>
  <si>
    <t>DIRECT MOUNT</t>
  </si>
  <si>
    <t>OA-102LH</t>
  </si>
  <si>
    <t>EXTENSION BAR LEFT HAND</t>
  </si>
  <si>
    <t>OA-102MATHEWSLH</t>
  </si>
  <si>
    <t>LH EXTENSION BAR SPECIFIC TO MATHEWS BRIDGE-LOCK</t>
  </si>
  <si>
    <t>OA-102MATHEWSRH</t>
  </si>
  <si>
    <t>RH EXTENSION BAR SPECIFIC TO MATHEWS BRIDGE-LOCK</t>
  </si>
  <si>
    <t>OA-103</t>
  </si>
  <si>
    <t>MICRO ADJUST ELEVATION BLOCK</t>
  </si>
  <si>
    <t>OA-103LH</t>
  </si>
  <si>
    <t>LEFT HAND ELEVATION BLOCK</t>
  </si>
  <si>
    <t>OA-103S</t>
  </si>
  <si>
    <t>ELIVATION BLOCK SPACER</t>
  </si>
  <si>
    <t>OA-104</t>
  </si>
  <si>
    <t>MICRO ADJUST WINDAGE BLOCK W/ 2ND AXIS ADJUST</t>
  </si>
  <si>
    <t>OA-105B6</t>
  </si>
  <si>
    <t>MOVABLE PIN GUARD FOR OPTION 6</t>
  </si>
  <si>
    <t>OA-105C</t>
  </si>
  <si>
    <t>MOVABLE PIN GUARD FOR OPTION 8</t>
  </si>
  <si>
    <t>OA-105C(8)</t>
  </si>
  <si>
    <t>OA-105CLH</t>
  </si>
  <si>
    <t>LEFT HANDED MOVABLE PIN GUARD FOR OPTION 8</t>
  </si>
  <si>
    <t>OA-106A</t>
  </si>
  <si>
    <t>FIXED PIN GUARD FOR OPTION 6 W/ DOUBLE TRACK PINS</t>
  </si>
  <si>
    <t>OA-106B</t>
  </si>
  <si>
    <t>FIXED PIN GUARD FOR OPTION 8 W/ DOUBLE TRACK</t>
  </si>
  <si>
    <t>OA-11</t>
  </si>
  <si>
    <t>BOTTOM HALF VERTICAL MOUNT ROD CLAMP</t>
  </si>
  <si>
    <t>OA-111</t>
  </si>
  <si>
    <t>3RD AXIS LEVEL BRACKET</t>
  </si>
  <si>
    <t>OA-112</t>
  </si>
  <si>
    <t>8 PIN OPEN-CLOSE MAGNET AND LIGHT HOLDER</t>
  </si>
  <si>
    <t>OA-113</t>
  </si>
  <si>
    <t>FRONT MAGNET BRACKET DOR OPTION 6 AND 4</t>
  </si>
  <si>
    <t>OA-114</t>
  </si>
  <si>
    <t>8 PIN MAGNET BRACKET</t>
  </si>
  <si>
    <t>OA-115</t>
  </si>
  <si>
    <t>SIDE MAGNET BRACKET FOR OPTION 6 AND 4</t>
  </si>
  <si>
    <t>OA-117</t>
  </si>
  <si>
    <t>QUIVER ADAPTER PLATE</t>
  </si>
  <si>
    <t>OA-12</t>
  </si>
  <si>
    <t>CAM LEVER FOR VERTICAL MOUNT</t>
  </si>
  <si>
    <t>OA-120(0.010 LONG)</t>
  </si>
  <si>
    <t>LONG SIGHT PIN 0.010 FIBER</t>
  </si>
  <si>
    <t>OA-120(0.010 SHORT)</t>
  </si>
  <si>
    <t>SHORT SIGHT PIN FOR 0.010 FIBER</t>
  </si>
  <si>
    <t>OA-120L</t>
  </si>
  <si>
    <t>LONG SIGHT PIN FOR DOUBLE TRACK PIN SYSTEM</t>
  </si>
  <si>
    <t>OA-120S</t>
  </si>
  <si>
    <t>SHORT SIGHT PIN FOR DOUBLE TRACK PIN SYSTEM</t>
  </si>
  <si>
    <t>OA-121</t>
  </si>
  <si>
    <t>FIBER GUARD BASE FOR MOVABLE</t>
  </si>
  <si>
    <t>OA-121LH</t>
  </si>
  <si>
    <t>LEFT HAND FIBER GUARD BASE FOR MOVABLE PIN</t>
  </si>
  <si>
    <t>OA-121LH(2022)</t>
  </si>
  <si>
    <t>LEFT HAND 2022 FIBER GUARD FOR MACHINED SIGHT PIN</t>
  </si>
  <si>
    <t>OA-121RH(2022)</t>
  </si>
  <si>
    <t>2022 FIBER GUARD FOR MACHINED SIGHT PIN</t>
  </si>
  <si>
    <t>OA-129</t>
  </si>
  <si>
    <t>EXTRA FIBER LIGHT GATHER COVER FOR MOVER PIN</t>
  </si>
  <si>
    <t>OA-13</t>
  </si>
  <si>
    <t>CAM NUT</t>
  </si>
  <si>
    <t>OA-135(0.010)LH</t>
  </si>
  <si>
    <t>LEFT HAND MACHINED MOVER PIN FOR 0.010 FIBER</t>
  </si>
  <si>
    <t>OA-135(0.010)RH</t>
  </si>
  <si>
    <t>RIGHT HAND MACHINED MOVED PIN FOR 0.010 FIBER</t>
  </si>
  <si>
    <t>OA-135LH</t>
  </si>
  <si>
    <t>2022 MACHINED</t>
  </si>
  <si>
    <t>OA-135RH</t>
  </si>
  <si>
    <t>2022 MACHINED MOVER PIN</t>
  </si>
  <si>
    <t>OA-188</t>
  </si>
  <si>
    <t>LENSE ADAPTERFOR ROUND HOUSING SIGHTS</t>
  </si>
  <si>
    <t>OA-7/32PEEP</t>
  </si>
  <si>
    <t>7/32" OVAL PEEP</t>
  </si>
  <si>
    <t>OA-CP</t>
  </si>
  <si>
    <t>OA-CP TOOLING</t>
  </si>
  <si>
    <t>TOOLING FOR CP PARTS</t>
  </si>
  <si>
    <t>OA-CP101</t>
  </si>
  <si>
    <t>BOW MOUNT BLOCK FOR EXTENSION</t>
  </si>
  <si>
    <t>OA-CP101 LH</t>
  </si>
  <si>
    <t>LEFT HAND BOW MOUNT BLOCK</t>
  </si>
  <si>
    <t>OA-CP101.5</t>
  </si>
  <si>
    <t>LOCK DOWN KNOB FOR BOW MOUNT</t>
  </si>
  <si>
    <t>OA-CP102DM</t>
  </si>
  <si>
    <t>CP DIRECT MOUNT</t>
  </si>
  <si>
    <t>OA-CP102LH</t>
  </si>
  <si>
    <t>LEFT HAND CP EXTENSION BAR ( BRIDGE LOCK DIMENSION</t>
  </si>
  <si>
    <t>OA-CP102OFSTBLK</t>
  </si>
  <si>
    <t>WINDAGE OFFSET BLOCK</t>
  </si>
  <si>
    <t>OA-CP102RH</t>
  </si>
  <si>
    <t>CP EXTENSION BAR (BRIDGE LOCK DIMENSIONS)</t>
  </si>
  <si>
    <t>OA-CP102THIRD AXIS BLK #1</t>
  </si>
  <si>
    <t>THIRD AXIS BLK #1</t>
  </si>
  <si>
    <t>OA-CP102THIRD AXIS BLK #2</t>
  </si>
  <si>
    <t>THIRD AXIS BLK #2</t>
  </si>
  <si>
    <t>OA-CP103LH</t>
  </si>
  <si>
    <t>LEFT HAND SLIDE ADJUST ELEVATION BLOCK FOR CP</t>
  </si>
  <si>
    <t>OA-CP103RH</t>
  </si>
  <si>
    <t>SLIDE ADJUST ELEVATION BLOCK FOR CP</t>
  </si>
  <si>
    <t>OA-CP105LH</t>
  </si>
  <si>
    <t>LEFT HAND MOVEABLE PIN GUARD FOR CP SIGHT</t>
  </si>
  <si>
    <t>OA-CP105RH</t>
  </si>
  <si>
    <t>MOVEABLE PIN GUARD FOR CP SIGHT</t>
  </si>
  <si>
    <t>OA-CP107</t>
  </si>
  <si>
    <t>HELIX DRIVE BLOCK</t>
  </si>
  <si>
    <t>OA-CP108T</t>
  </si>
  <si>
    <t>TOP THREADED HELIX KNOB</t>
  </si>
  <si>
    <t>OA-CP110</t>
  </si>
  <si>
    <t>VERTICAL ADJUST GUIDE FRAME</t>
  </si>
  <si>
    <t>OA-CP111EX</t>
  </si>
  <si>
    <t>3RD AXIS LEVEL BRACKET (FOR 8MM VIAL)</t>
  </si>
  <si>
    <t>OA-CP111EX2</t>
  </si>
  <si>
    <t>3RD AXIS 8MM LEVEL LOCKING BLOCK</t>
  </si>
  <si>
    <t>OA-CP112</t>
  </si>
  <si>
    <t>VERTICAL SLIDE GUIDE NYLON CAP</t>
  </si>
  <si>
    <t>OA-CP118</t>
  </si>
  <si>
    <t>MAIN SIGHT TAPE BRACKET</t>
  </si>
  <si>
    <t>OA-CP128</t>
  </si>
  <si>
    <t>CP 2ND SLIDE MACHINED INDICATOR BLADE</t>
  </si>
  <si>
    <t>OA-CP133A</t>
  </si>
  <si>
    <t>TOP HALF OF TWO PIECEROD ZERO STOP</t>
  </si>
  <si>
    <t>OA-CP133B</t>
  </si>
  <si>
    <t>BOTTOM HALF OF TWO PIECE ROD ZERO STOP</t>
  </si>
  <si>
    <t>OB 360 LIMB POCKET</t>
  </si>
  <si>
    <t>OB- 360 MOD A</t>
  </si>
  <si>
    <t>OB- 360 MOD B</t>
  </si>
  <si>
    <t>OB- 360 POCKET PIVOTS</t>
  </si>
  <si>
    <t>360 POCKET PIVOTS</t>
  </si>
  <si>
    <t>OD-3090</t>
  </si>
  <si>
    <t>ODENTHALEURO CLAMP 30X90</t>
  </si>
  <si>
    <t>OD-3092</t>
  </si>
  <si>
    <t>ODENTHAL EURO CLAMP 30X92</t>
  </si>
  <si>
    <t>OD-4Z190</t>
  </si>
  <si>
    <t>DAYTONA U-BRACKET</t>
  </si>
  <si>
    <t>OD-ABLB</t>
  </si>
  <si>
    <t>AIRBOX MOUNT L BRACKET</t>
  </si>
  <si>
    <t>OD-C1</t>
  </si>
  <si>
    <t>ODENTHAL COPPER VIBRATION PLATE (2-CYCLE)</t>
  </si>
  <si>
    <t>OD-C2</t>
  </si>
  <si>
    <t>ODENTHAL COPPER SPACER 4-CYCLE</t>
  </si>
  <si>
    <t>OD-ESA4S</t>
  </si>
  <si>
    <t>ORP 4 CYCLE EZ-SET UPPER</t>
  </si>
  <si>
    <t>OD-ESB</t>
  </si>
  <si>
    <t>ODENTHAL BASE PLATE</t>
  </si>
  <si>
    <t>OD-ESBE</t>
  </si>
  <si>
    <t>ODENTHAL EURO BASE PLATE</t>
  </si>
  <si>
    <t>OD-ESB-OKUMA</t>
  </si>
  <si>
    <t>OD-ESM10D1</t>
  </si>
  <si>
    <t>10 DEGREE MOUNT</t>
  </si>
  <si>
    <t>OD-ESM4S</t>
  </si>
  <si>
    <t>ODENTHAL 4-CYCLE MOUNT</t>
  </si>
  <si>
    <t>OD-ESM5D1</t>
  </si>
  <si>
    <t>ODENTHAL EZ SET 5 DEGREE MOUNT</t>
  </si>
  <si>
    <t>OD-ESMOD1</t>
  </si>
  <si>
    <t>0 DEGREE EZ SET MOUNT</t>
  </si>
  <si>
    <t>OD-EZGP01-1</t>
  </si>
  <si>
    <t>90 DEGREE PIVOT</t>
  </si>
  <si>
    <t>OD-EZGP02-1</t>
  </si>
  <si>
    <t>MOUNTING PIVOT</t>
  </si>
  <si>
    <t>OD-EZGP03-1</t>
  </si>
  <si>
    <t>DUAL TOP PLATE</t>
  </si>
  <si>
    <t>OD-EZGP04-1</t>
  </si>
  <si>
    <t>SINGLE TOP PLATE</t>
  </si>
  <si>
    <t>OD-EZGP05-1</t>
  </si>
  <si>
    <t>ARM, REGULAR</t>
  </si>
  <si>
    <t>OD-EZGP05-2</t>
  </si>
  <si>
    <t>EZGP MEDIUM ARM</t>
  </si>
  <si>
    <t>OD-EZGP05-3</t>
  </si>
  <si>
    <t>EZGP SHORT ARM</t>
  </si>
  <si>
    <t>OD-EZGP06-1</t>
  </si>
  <si>
    <t>SWIVEL, 360 DEG</t>
  </si>
  <si>
    <t>OD-EZGP06-2</t>
  </si>
  <si>
    <t>360 SWIVEL, PHONE MOUNT</t>
  </si>
  <si>
    <t>OD-EZGP07-1</t>
  </si>
  <si>
    <t>CAP, BASE CLAMP</t>
  </si>
  <si>
    <t>OD-EZGP08-1</t>
  </si>
  <si>
    <t>CLAMP BASE 20MM</t>
  </si>
  <si>
    <t>OD-EZGP11-1</t>
  </si>
  <si>
    <t>CAMERA MOUNT ISOLATOR, BOTTOM</t>
  </si>
  <si>
    <t>OD-EZGP12-1</t>
  </si>
  <si>
    <t>CAMERA MOUNT ISOLATOR, TOP</t>
  </si>
  <si>
    <t>OD-GXH50</t>
  </si>
  <si>
    <t>GXH50 HONDA MOUNT</t>
  </si>
  <si>
    <t>OD-I25</t>
  </si>
  <si>
    <t>ODENTHAL WEDGE CLAMP FOR GXH50</t>
  </si>
  <si>
    <t>OD-I28</t>
  </si>
  <si>
    <t>ODENTHAL WEDGE CLAMP</t>
  </si>
  <si>
    <t>OD-I30/K28</t>
  </si>
  <si>
    <t>OD-I32/K30</t>
  </si>
  <si>
    <t>ODENTHALWEDGE CLAMP</t>
  </si>
  <si>
    <t>OD-K25</t>
  </si>
  <si>
    <t>OD-K32</t>
  </si>
  <si>
    <t>OD-LOWPRO-0</t>
  </si>
  <si>
    <t>0 DEGREE PRO SERIES LOW PROFILE MOUNT</t>
  </si>
  <si>
    <t>OD-LOWPRO-5</t>
  </si>
  <si>
    <t>ODENTHAL LOW PROFILE 5 DEGREE MOUNT</t>
  </si>
  <si>
    <t>OD-OPENER</t>
  </si>
  <si>
    <t>ODENTHAL BOTTLE OPENER</t>
  </si>
  <si>
    <t>OD-PRO-0</t>
  </si>
  <si>
    <t>ODENTHAL PRO SERIES 0 DEGREE MOUNT</t>
  </si>
  <si>
    <t>OD-PRO-5</t>
  </si>
  <si>
    <t>PRO SERIES 5 DEGREE MOUNT</t>
  </si>
  <si>
    <t>OD-PRO-8</t>
  </si>
  <si>
    <t>PRO SERIES 8 DEGREE MOTOR MOUNT</t>
  </si>
  <si>
    <t>OD-UNGA</t>
  </si>
  <si>
    <t>ODENTHAL UNIVERSAL MOUNTING ARM, GAP</t>
  </si>
  <si>
    <t>OD-UNLA</t>
  </si>
  <si>
    <t>ODENTHAL UNIVERSAL MOUNTING ARM, LONG</t>
  </si>
  <si>
    <t>OD-UNMA</t>
  </si>
  <si>
    <t>ODENTHAL UNIVERSAL MOUNTING ARM, MEDIUM</t>
  </si>
  <si>
    <t>OD-UNSA</t>
  </si>
  <si>
    <t>ODENTHAL UNIVERSAL MOUNTING ARM, SHORT</t>
  </si>
  <si>
    <t>SC-SPEAKERGRILL</t>
  </si>
  <si>
    <t>STANCRAFT SPEAKER COVERS</t>
  </si>
  <si>
    <t>SHOP-6."X8"DOVETAILFIXTURE</t>
  </si>
  <si>
    <t>6X8X1 DOVE TAIL</t>
  </si>
  <si>
    <t>SHOP-JANITORIAL</t>
  </si>
  <si>
    <t>SHOP JANITORIAL</t>
  </si>
  <si>
    <t>SHOP-MACHINING</t>
  </si>
  <si>
    <t>MACHINING, PROTO TYPING, FIXTURING</t>
  </si>
  <si>
    <t>SHOP-MAINTENANCE</t>
  </si>
  <si>
    <t>SHOP MAINTENANCE</t>
  </si>
  <si>
    <t>SHOP-PROGRAMING</t>
  </si>
  <si>
    <t>SHOP PROGRAMING</t>
  </si>
  <si>
    <t>SPECIAL EXTRUSION</t>
  </si>
  <si>
    <t>DAWN RAIL EXTRUDED MATERIAL</t>
  </si>
  <si>
    <t>TEST1</t>
  </si>
  <si>
    <t>TEST PART 1</t>
  </si>
  <si>
    <t>TEST1-CHILD</t>
  </si>
  <si>
    <t>TEST PART CHILD</t>
  </si>
  <si>
    <t>XA- XB2 CAM</t>
  </si>
  <si>
    <t>REFLECTION XB2 CAM TOP AND BOTTOM</t>
  </si>
  <si>
    <t>XA-100007-CB</t>
  </si>
  <si>
    <t>FLAGSHIP CROSSBOW TRIGGER BOX / HOUSING</t>
  </si>
  <si>
    <t>XA-12055HD</t>
  </si>
  <si>
    <t>2021 FRONT LIMB POCKET-MAKO HD</t>
  </si>
  <si>
    <t>XA-12055RFX</t>
  </si>
  <si>
    <t>LIMB POCKET-REFLECTION 32</t>
  </si>
  <si>
    <t>XA-12056</t>
  </si>
  <si>
    <t>REAR LIMB POCKET-MODELS 2018 AND OLDER</t>
  </si>
  <si>
    <t>XA-12088</t>
  </si>
  <si>
    <t>SUPRESSOR ROD</t>
  </si>
  <si>
    <t>XA-20120</t>
  </si>
  <si>
    <t>2023 POCKET END CAP</t>
  </si>
  <si>
    <t>XA-20120AL-L&amp;R</t>
  </si>
  <si>
    <t>POCKET END CAP LEFT &amp; RIGHT REFLECTION 32</t>
  </si>
  <si>
    <t>XA-20121</t>
  </si>
  <si>
    <t>2023 CABLE SPLITTER</t>
  </si>
  <si>
    <t>XA-20262</t>
  </si>
  <si>
    <t>ROTATING HD MOD TOP-XCURSION 6HD&amp;7HD</t>
  </si>
  <si>
    <t>XA-20263</t>
  </si>
  <si>
    <t>ROTATING HD MOD BOTTOM-XCURSION 6HD&amp;7HD</t>
  </si>
  <si>
    <t>XA-20308</t>
  </si>
  <si>
    <t>XCURSION XS HD TOP CAM RH</t>
  </si>
  <si>
    <t>XA-20309</t>
  </si>
  <si>
    <t>XCURSION XS HD BOTTOM CAM RH</t>
  </si>
  <si>
    <t>XA-20310-20311</t>
  </si>
  <si>
    <t>XCURSION XS HD LEFT HAND CAM TOP AND BOTTOM</t>
  </si>
  <si>
    <t>XA-23308A</t>
  </si>
  <si>
    <t>XB29-A-CAM, TOP</t>
  </si>
  <si>
    <t>XA-23308B</t>
  </si>
  <si>
    <t>XB29-B-CAM, BOTTOM</t>
  </si>
  <si>
    <t>XA-23310A</t>
  </si>
  <si>
    <t>XB35-A, CAM, TOP</t>
  </si>
  <si>
    <t>XA-23311B</t>
  </si>
  <si>
    <t>XB35, CAM, BOTTOM</t>
  </si>
  <si>
    <t>XA-30302-30303</t>
  </si>
  <si>
    <t>HD-S CAM LEFT HAND TOP AND BOTTOM</t>
  </si>
  <si>
    <t>XA-30951</t>
  </si>
  <si>
    <t>2023 LIMB POCKET PAD</t>
  </si>
  <si>
    <t>XA-40304.280</t>
  </si>
  <si>
    <t>SMOKE CAMS 28.0"/ SET</t>
  </si>
  <si>
    <t>XA-40304.285</t>
  </si>
  <si>
    <t>SMOKE CAMS 28.5"/SET</t>
  </si>
  <si>
    <t>XA-40304.290</t>
  </si>
  <si>
    <t>SMOKE CAMS 29.0"/SET</t>
  </si>
  <si>
    <t>XA-40304.295</t>
  </si>
  <si>
    <t>SMOKE CAMS 29.5"/SET</t>
  </si>
  <si>
    <t>XA-40304.300</t>
  </si>
  <si>
    <t>SMOKE TOP CAM RH 30"</t>
  </si>
  <si>
    <t>XA-40305.280</t>
  </si>
  <si>
    <t>SMOKE BOTTOM CAM RH 28"</t>
  </si>
  <si>
    <t>XA-40305.285</t>
  </si>
  <si>
    <t>SMOKE BOTTOM CAM RH 28.5"</t>
  </si>
  <si>
    <t>XA-40305.290</t>
  </si>
  <si>
    <t>SMOKE BOTTOM CAM RH 29"</t>
  </si>
  <si>
    <t>XA-40305.295</t>
  </si>
  <si>
    <t>SMOKE BOTTOM CAM RH 29.5"</t>
  </si>
  <si>
    <t>XA-40305.300</t>
  </si>
  <si>
    <t>SMOKE BOTTOM CAM RH 30"</t>
  </si>
  <si>
    <t>XA-40413</t>
  </si>
  <si>
    <t>2021 SMOKE CABLE BRACKET</t>
  </si>
  <si>
    <t>XA-50262</t>
  </si>
  <si>
    <t>XB1 TOP LONG DRAW ROTATING MOD-XB1-A1</t>
  </si>
  <si>
    <t>XA-50263</t>
  </si>
  <si>
    <t>XB1 BOTTOM LONG DRAW ROTATING MOD-XB1-B1</t>
  </si>
  <si>
    <t>XA-50264</t>
  </si>
  <si>
    <t>XB1 TOP REGULAR DRAW ROTATING MOD- XB1-A2</t>
  </si>
  <si>
    <t>XA-50265</t>
  </si>
  <si>
    <t>XB1 BOTTOM REGULAR DRAW ROTATING MOD-XB1-B2</t>
  </si>
  <si>
    <t>XA-50272</t>
  </si>
  <si>
    <t>XB29-A2 TOP MOD</t>
  </si>
  <si>
    <t>XA-50273</t>
  </si>
  <si>
    <t>XB29-B2, BOTTOM MOD</t>
  </si>
  <si>
    <t>XA-50274</t>
  </si>
  <si>
    <t>XB29-A1, LONG DRAW MOD, TOP</t>
  </si>
  <si>
    <t>XA-50275</t>
  </si>
  <si>
    <t>XB29-B1, LONG DRAW MOD, BOTTOM</t>
  </si>
  <si>
    <t>XA-50276</t>
  </si>
  <si>
    <t>XB35-A2, TOP MOD</t>
  </si>
  <si>
    <t>XA-50277</t>
  </si>
  <si>
    <t>XB35-B2 BOTTOM MOD</t>
  </si>
  <si>
    <t>XA-50278</t>
  </si>
  <si>
    <t>XB35-A1, LONG DRAW MOD, TOP</t>
  </si>
  <si>
    <t>XA-50279</t>
  </si>
  <si>
    <t>XB35-A1, LONG DRAW MOD, BOTTOM</t>
  </si>
  <si>
    <t>XA-50401</t>
  </si>
  <si>
    <t>2023 CABLE BRACKET</t>
  </si>
  <si>
    <t>XA-50401AL</t>
  </si>
  <si>
    <t>CABLE BRACKET REFLECTION 23</t>
  </si>
  <si>
    <t>XA-50402</t>
  </si>
  <si>
    <t>CABLE CONTAINMENT SLEEVE</t>
  </si>
  <si>
    <t>XA-50402AL</t>
  </si>
  <si>
    <t>CABLE CONTAINMENT SLEEVE RFLECTION 32</t>
  </si>
  <si>
    <t>XA-50403</t>
  </si>
  <si>
    <t>CABLE ROLLER</t>
  </si>
  <si>
    <t>XA-50403AL</t>
  </si>
  <si>
    <t>CABLE ROLLER REFLECTION 32</t>
  </si>
  <si>
    <t>XA-50404</t>
  </si>
  <si>
    <t>LIMB AXLE BRACKET</t>
  </si>
  <si>
    <t>XA-PROTOTYPE 1</t>
  </si>
  <si>
    <t>CAMS... COUNTED IN SETS</t>
  </si>
  <si>
    <t>XA-PROTOTYPE2</t>
  </si>
  <si>
    <t>POCKETS</t>
  </si>
  <si>
    <t>XA-PROTOTYPE3</t>
  </si>
  <si>
    <t>MODS, COUNTED IN SETS!!!</t>
  </si>
  <si>
    <t>XA-XB1-B</t>
  </si>
  <si>
    <t>XB1 CAM BOTTOM</t>
  </si>
  <si>
    <t>XA-XB1-T</t>
  </si>
  <si>
    <t>XB1 CAM TOP</t>
  </si>
  <si>
    <t>125-13170202</t>
  </si>
  <si>
    <t>NO DESCRIPTION YET</t>
  </si>
  <si>
    <t>115462-0</t>
  </si>
  <si>
    <t>N/A</t>
  </si>
  <si>
    <t>125-10720141</t>
  </si>
  <si>
    <t>FLANGE BEZEL LEFT/RIGHT</t>
  </si>
  <si>
    <t>125-13170205</t>
  </si>
  <si>
    <t>SEALED USB HUB CHASSIS</t>
  </si>
  <si>
    <t>125-13170206</t>
  </si>
  <si>
    <t>SEALED USB HUB LID</t>
  </si>
  <si>
    <t>125-13170208</t>
  </si>
  <si>
    <t>CABLE COVER, SEALED USB HUB</t>
  </si>
  <si>
    <t>S125-13170231</t>
  </si>
  <si>
    <t>A2000(175A) HEATPIPE MODIFICATION TO 2000ADA(231A S125-13170231B</t>
  </si>
  <si>
    <t>XA-23282</t>
  </si>
  <si>
    <t>XB32 Top Reg Mod CUT</t>
  </si>
  <si>
    <t>XA-23283</t>
  </si>
  <si>
    <t>XB32 Bottom Reg Mod CUT</t>
  </si>
  <si>
    <t>XA-23284</t>
  </si>
  <si>
    <t>XB32 Top LD Mod CUT</t>
  </si>
  <si>
    <t>XA-23285</t>
  </si>
  <si>
    <t>XB32 Bottom LD Mod CUT</t>
  </si>
  <si>
    <t>IQ-PART1</t>
  </si>
  <si>
    <t>RTA + SLEEVE EXT THD HOLDING</t>
  </si>
  <si>
    <t>IQ-PART2</t>
  </si>
  <si>
    <t>RTA + PROBE HOUSING</t>
  </si>
  <si>
    <t>IQ-PART3</t>
  </si>
  <si>
    <t>RTA + LENS TUBE 1ST PIECE</t>
  </si>
  <si>
    <t>IQ-PART4</t>
  </si>
  <si>
    <t>RTA + LENS TUBE 2ND PIECE</t>
  </si>
  <si>
    <t>IQ-PART5</t>
  </si>
  <si>
    <t>RTA + LENS TUBE MIRROR</t>
  </si>
  <si>
    <t>IQ-PART6</t>
  </si>
  <si>
    <t>RTA + LENS TUBE COVER</t>
  </si>
  <si>
    <t>IQ-PART7</t>
  </si>
  <si>
    <t>RTA + HOUSING COVER</t>
  </si>
  <si>
    <t>OD-ESM4S0</t>
  </si>
  <si>
    <t>0 DEGREE 4-CYCLE MOUNT</t>
  </si>
  <si>
    <t>125-11870116</t>
  </si>
  <si>
    <t>FOOT</t>
  </si>
  <si>
    <t>125-11870118</t>
  </si>
  <si>
    <t>125-11870143</t>
  </si>
  <si>
    <t>CLEAT</t>
  </si>
  <si>
    <t>125-11870144</t>
  </si>
  <si>
    <t>LEVEL MOUNT</t>
  </si>
  <si>
    <t>ASAP</t>
  </si>
  <si>
    <t>Not Ordered</t>
  </si>
  <si>
    <t>Not Ready</t>
  </si>
  <si>
    <t>Cut</t>
  </si>
  <si>
    <t>Ready</t>
  </si>
  <si>
    <t>Quantity</t>
  </si>
  <si>
    <t>Chris</t>
  </si>
  <si>
    <t>Preceeding JobID</t>
  </si>
  <si>
    <t>Dropped off</t>
  </si>
  <si>
    <t>In House</t>
  </si>
  <si>
    <t>Received</t>
  </si>
  <si>
    <t>Ordered</t>
  </si>
  <si>
    <t>OBSESSION</t>
  </si>
  <si>
    <t>GMK</t>
  </si>
  <si>
    <t>OB-FIRE CAT CAMS</t>
  </si>
  <si>
    <t>FIRE CAT CAMS, SETS</t>
  </si>
  <si>
    <t>125-12890104</t>
  </si>
  <si>
    <t>PLUG</t>
  </si>
  <si>
    <t>125-12890105</t>
  </si>
  <si>
    <t>OB-FL LIMB BRAC MG</t>
  </si>
  <si>
    <t>OB-LIMB BRAC MG</t>
  </si>
  <si>
    <t>OB-360 CAM MG</t>
  </si>
  <si>
    <t>OB-360 DRAWSTOPS</t>
  </si>
  <si>
    <t>OB-0.06 THREADED SPACER</t>
  </si>
  <si>
    <t>OB-0.12 THREADED SPACER</t>
  </si>
  <si>
    <t>OB-360 LIMB POCKET MG</t>
  </si>
  <si>
    <t>OB-LIMB BOLT SLUG</t>
  </si>
  <si>
    <t>OB-360/NT POCKET PIVOT DELRIN</t>
  </si>
  <si>
    <t>OB-POCKET PIN END CAP</t>
  </si>
  <si>
    <t>OB-CABLE BRAC MG</t>
  </si>
  <si>
    <t>OB-CABLE ROLLER</t>
  </si>
  <si>
    <t>OB-CABLE KEEPER</t>
  </si>
  <si>
    <t>OB-CABLE YOKE</t>
  </si>
  <si>
    <t>OB-POCKET PIN</t>
  </si>
  <si>
    <t>OA-CACHE-01 (5IN)</t>
  </si>
  <si>
    <t>5 inch Cache-Bar Canister</t>
  </si>
  <si>
    <t>OA-CACHE-01 (7IN)</t>
  </si>
  <si>
    <t>7 inch Cache-Bar Canister</t>
  </si>
  <si>
    <t>OA-CACHE-02 STRT</t>
  </si>
  <si>
    <t>Cache-Bar Straight Offset Bar</t>
  </si>
  <si>
    <t>OA-CACHE-03</t>
  </si>
  <si>
    <t>Cache-Bar Threaded Cap</t>
  </si>
  <si>
    <t>OA-CACHE-04</t>
  </si>
  <si>
    <t>Cache-Bar Threaded Plug End Cap</t>
  </si>
  <si>
    <t>OA-STAB-01(5/16-24 End Cap)</t>
  </si>
  <si>
    <t>Stabilizer 5/16-24 Threaded Glue-In End Cap</t>
  </si>
  <si>
    <t>TA-CAMS FROM MAG</t>
  </si>
  <si>
    <t>CAMS FROM MAG</t>
  </si>
  <si>
    <t>TA-MODS</t>
  </si>
  <si>
    <t>MODS</t>
  </si>
  <si>
    <t>TA-DRAW STOPS</t>
  </si>
  <si>
    <t xml:space="preserve">DRAW STOPS </t>
  </si>
  <si>
    <t>TA-YOKES</t>
  </si>
  <si>
    <t>YOKES</t>
  </si>
  <si>
    <t>TA-LIMB BLOT SLUG</t>
  </si>
  <si>
    <t>LIMB BOLT SLUG</t>
  </si>
  <si>
    <t>TA-POCKET PIVOTS</t>
  </si>
  <si>
    <t>POCKET PIVOTS</t>
  </si>
  <si>
    <t>TA-POCKET PINS</t>
  </si>
  <si>
    <t>POCKET PINS</t>
  </si>
  <si>
    <t>TA-POCKET PIN END CAPS</t>
  </si>
  <si>
    <t>POCKET PIN END CAPS</t>
  </si>
  <si>
    <t>TA-CABLE BRACKETS FROM MAG</t>
  </si>
  <si>
    <t>CABLE BRACKETS FROM MAG</t>
  </si>
  <si>
    <t>TA-CABLE ROLLERS</t>
  </si>
  <si>
    <t>CABLE ROLLERS</t>
  </si>
  <si>
    <t>TA-CABLE KEEPERS</t>
  </si>
  <si>
    <t>CABLE KEEPERS</t>
  </si>
  <si>
    <t>XA-40306</t>
  </si>
  <si>
    <t>XB2 BOTTOM CAM</t>
  </si>
  <si>
    <t>XA-40307</t>
  </si>
  <si>
    <t>XA-50266</t>
  </si>
  <si>
    <t>XB2-A1 TOP LONG DRAW MOD</t>
  </si>
  <si>
    <t>XA-50267</t>
  </si>
  <si>
    <t>XB2-B1 BOTTOM LONG DRAW MOD</t>
  </si>
  <si>
    <t>XA-50268</t>
  </si>
  <si>
    <t>XB2-A2 TOP MED DRAW MOD</t>
  </si>
  <si>
    <t>XA-50269</t>
  </si>
  <si>
    <t>XB2-B2 BOTTOM MED DRAW MOD</t>
  </si>
  <si>
    <t>XA-50270</t>
  </si>
  <si>
    <t>XB2-A3 TOP SHORT DRAW MOD</t>
  </si>
  <si>
    <t>XA-50271</t>
  </si>
  <si>
    <t>XB2-B3 BOTTOM SHORT DRAW MOD</t>
  </si>
  <si>
    <t>DV-84-1021238-B</t>
  </si>
  <si>
    <t>RAIL, EXTRUSION</t>
  </si>
  <si>
    <t>DV-84-1021238-T</t>
  </si>
  <si>
    <t>GMK-310-0020</t>
  </si>
  <si>
    <t>LEADING ROOT RIB (LEFT)</t>
  </si>
  <si>
    <t>GMK-311-0016</t>
  </si>
  <si>
    <t>LEADING ROOT RIB (RIGHT)</t>
  </si>
  <si>
    <t>DV-84-1017991-B</t>
  </si>
  <si>
    <t>DV-84-1017991-T</t>
  </si>
  <si>
    <t>DV-84-1017992-B</t>
  </si>
  <si>
    <t>DV-84-1017992-T</t>
  </si>
  <si>
    <t>OB-FLIGHT CAMS</t>
  </si>
  <si>
    <t>FLIGHT CAMS</t>
  </si>
  <si>
    <t>OB-FLIGHT MODS</t>
  </si>
  <si>
    <t>FLIGHT MODS</t>
  </si>
  <si>
    <t>TA-LIMB BEZELS</t>
  </si>
  <si>
    <t>LIMB BEZELS</t>
  </si>
  <si>
    <t>TA-LONG SUPPRESSOR RODS</t>
  </si>
  <si>
    <t>LONG SUPPRESSOR RODS</t>
  </si>
  <si>
    <t>TA-SHORT SUPPRESSOR RODS</t>
  </si>
  <si>
    <t>SHORT SUPPRESSOR RODS</t>
  </si>
  <si>
    <t>TA-LIMB DRIVER BRACKETS</t>
  </si>
  <si>
    <t>LIMB DRIVER BRACKETS</t>
  </si>
  <si>
    <t>GMK-880-0002-R04</t>
  </si>
  <si>
    <t>HEAT SINK</t>
  </si>
  <si>
    <t>IQ-ENG-2300-00</t>
  </si>
  <si>
    <t>RTA LOW TEMP HOUSING</t>
  </si>
  <si>
    <t>IQ-ENG-2301-01</t>
  </si>
  <si>
    <t>RTA LOW TEMP LENS TUBE MIRROR</t>
  </si>
  <si>
    <t>IQ-ENG-2302-01</t>
  </si>
  <si>
    <t>RTA LOW TEMP TUBE BODY</t>
  </si>
  <si>
    <t>IQ-ENG-2303-00</t>
  </si>
  <si>
    <t>RTA LOW TEMP TUBE HEAD</t>
  </si>
  <si>
    <t>IQ-ENG-2304-01</t>
  </si>
  <si>
    <t>RTA LOW TEMP TUBE COVER</t>
  </si>
  <si>
    <t>IQ-ENG-2305-00</t>
  </si>
  <si>
    <t>RTA LOW TEMP HOUSING COVER</t>
  </si>
  <si>
    <t>IQ-ENG-2306-00</t>
  </si>
  <si>
    <t>RTA LOW TEMP EXT HOLDING SLEEVE</t>
  </si>
  <si>
    <t>GMK-TURN KYLE HUBS</t>
  </si>
  <si>
    <t>TURN KYLE HUBS</t>
  </si>
  <si>
    <t>125-13180208</t>
  </si>
  <si>
    <t>RISER RETAINER</t>
  </si>
  <si>
    <t>125-13180217</t>
  </si>
  <si>
    <t>125-13180218</t>
  </si>
  <si>
    <t>125-13180219</t>
  </si>
  <si>
    <t>125-13180221</t>
  </si>
  <si>
    <t>HOOK</t>
  </si>
  <si>
    <t>125-13180237</t>
  </si>
  <si>
    <t>FOOT, CYBERPAC</t>
  </si>
  <si>
    <t>OB-FIRE CAT MODS</t>
  </si>
  <si>
    <t xml:space="preserve">FIRE CAT MODS </t>
  </si>
  <si>
    <t>OB-FIRE CAT DRAWSTOPS</t>
  </si>
  <si>
    <t>FIRE CAT DRAWSTOPS REGULAR</t>
  </si>
  <si>
    <t>OB-FLITE DRAWSTOPS LD</t>
  </si>
  <si>
    <t>LONG DRAW FLITE DRAWSTOPS</t>
  </si>
  <si>
    <t>OB-FLITE MODS LD</t>
  </si>
  <si>
    <t>FLITE MODS LD</t>
  </si>
  <si>
    <t>OB-FLITE LIMB BRACKET</t>
  </si>
  <si>
    <t>FLITE LIMB BRACKET</t>
  </si>
  <si>
    <t>125-12240120</t>
  </si>
  <si>
    <t>OD-ESM0D1</t>
  </si>
  <si>
    <t>0 DEGREE EZ-SET SLIDER MOUNT</t>
  </si>
  <si>
    <t>OB-32 SPEED MOD</t>
  </si>
  <si>
    <t>32 SPEED MOD</t>
  </si>
  <si>
    <t>TA-MODS LD</t>
  </si>
  <si>
    <t>LD MODS</t>
  </si>
  <si>
    <t>GMK-750-0059-R06</t>
  </si>
  <si>
    <t>RELEASE MOUNT</t>
  </si>
  <si>
    <t>GMK-750-0060-R06</t>
  </si>
  <si>
    <t>RELEASE MOUNT TRIGGER</t>
  </si>
  <si>
    <t>GMK-750-0061-R06</t>
  </si>
  <si>
    <t>RELEASE PIVOT ARM</t>
  </si>
  <si>
    <t>GMK-750-0067-R04</t>
  </si>
  <si>
    <t>STARTER MOUNT HANGER</t>
  </si>
  <si>
    <t>GMK-770-0009-R03</t>
  </si>
  <si>
    <t>STARTER CASE</t>
  </si>
  <si>
    <t>GMK-770-0010-R02</t>
  </si>
  <si>
    <t>STARTER CASE LID</t>
  </si>
  <si>
    <t>XA-50300A</t>
  </si>
  <si>
    <t>2.0 LEVER TOP CAM RH CAM ASSEMBLY</t>
  </si>
  <si>
    <t>25-1021149-01</t>
  </si>
  <si>
    <t>HOUSING, LEFT</t>
  </si>
  <si>
    <t>25-1021149-02</t>
  </si>
  <si>
    <t>HOUSING, RIGHT</t>
  </si>
  <si>
    <t>25-1021150</t>
  </si>
  <si>
    <t>HINGE BAR</t>
  </si>
  <si>
    <t>OB-CABLE ROD BRACKET</t>
  </si>
  <si>
    <t>CABLE ROD BRACKET</t>
  </si>
  <si>
    <t>JobID</t>
  </si>
  <si>
    <t>POPartID</t>
  </si>
  <si>
    <t>PO Num</t>
  </si>
  <si>
    <t>Customer</t>
  </si>
  <si>
    <t>Part Num</t>
  </si>
  <si>
    <t>Part Desc</t>
  </si>
  <si>
    <t>OP</t>
  </si>
  <si>
    <t>Parts/Hour</t>
  </si>
  <si>
    <t>Setup Time</t>
  </si>
  <si>
    <t>Estimated Time</t>
  </si>
  <si>
    <t>Machine</t>
  </si>
  <si>
    <t>Start Date</t>
  </si>
  <si>
    <t>End Date</t>
  </si>
  <si>
    <t>Due Date</t>
  </si>
  <si>
    <t>Completed Qty</t>
  </si>
  <si>
    <t>Completion Status</t>
  </si>
  <si>
    <t>Notes</t>
  </si>
  <si>
    <t>Material Status</t>
  </si>
  <si>
    <t>NewJob</t>
  </si>
  <si>
    <t>PO Part ID</t>
  </si>
  <si>
    <t>PO ID</t>
  </si>
  <si>
    <t>Part ID</t>
  </si>
  <si>
    <t>Part Rev</t>
  </si>
  <si>
    <t>Anodization Status</t>
  </si>
  <si>
    <t>125-12240109_x000D_
MACHINED EXTRUSION, RECIEVER_x000D_
OP: 10_x000D_
PO: 234234</t>
  </si>
  <si>
    <t>OD-EZGP04-1_x000D_
SINGLE TOP PLATE_x000D_
OP: 10_x000D_
PO: 1685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</si>
</sst>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m/d/yy"/>
    <numFmt numFmtId="165" formatCode="d\ \-\ ddd"/>
    <numFmt numFmtId="166" formatCode="0.0#&quot;hrs&quot;"/>
    <numFmt numFmtId="167" formatCode="yyyy\-mm\-dd\ hh:mm:ss;@"/>
    <numFmt numFmtId="168" formatCode="m\-d\-yy"/>
    <numFmt numFmtId="169" formatCode="[$-409]ddd\ m/d\ h\ AM/PM;@"/>
    <numFmt numFmtId="170" formatCode="ha/p"/>
  </numFmts>
  <fonts count="7" x14ac:knownFonts="1">
    <font>
      <sz val="11"/>
      <color theme="1"/>
      <name val="Aptos Narrow"/>
      <family val="2"/>
      <scheme val="minor"/>
    </font>
    <font>
      <sz val="28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rgb="FF0000FF" tint="-0.249977111117893"/>
      <name val="Aptos Narrow"/>
      <family val="2"/>
      <scheme val="minor"/>
    </font>
    <font>
      <sz val="11"/>
      <color rgb="FFFF00FF" tint="-0.249977111117893"/>
      <name val="Aptos Narrow"/>
      <family val="2"/>
      <scheme val="minor"/>
    </font>
    <font>
      <sz val="8"/>
      <color theme="1"/>
      <name val="Aptos Narrow"/>
      <family val="2"/>
      <scheme val="minor"/>
    </font>
    <font>
      <sz val="9"/>
      <color rgb="FF000000"/>
      <name val="Aptos Narrow"/>
      <family val="2"/>
    </font>
  </fonts>
  <fills count="26">
    <fill>
      <patternFill patternType="none"/>
    </fill>
    <fill>
      <patternFill patternType="gray125"/>
    </fill>
    <fill>
      <patternFill patternType="solid">
        <fgColor theme="4" tint="0.29999694814905242"/>
        <bgColor indexed="64"/>
      </patternFill>
    </fill>
    <fill>
      <patternFill patternType="solid">
        <fgColor theme="4" tint="0.749992370372631"/>
        <bgColor indexed="64"/>
      </patternFill>
    </fill>
    <fill>
      <patternFill patternType="solid">
        <fgColor theme="5" tint="0.29999694814905242"/>
        <bgColor indexed="64"/>
      </patternFill>
    </fill>
    <fill>
      <patternFill patternType="solid">
        <fgColor theme="5" tint="0.749992370372631"/>
        <bgColor indexed="64"/>
      </patternFill>
    </fill>
    <fill>
      <patternFill patternType="solid">
        <fgColor theme="6" tint="0.29999694814905242"/>
        <bgColor indexed="64"/>
      </patternFill>
    </fill>
    <fill>
      <patternFill patternType="solid">
        <fgColor theme="6" tint="0.749992370372631"/>
        <bgColor indexed="64"/>
      </patternFill>
    </fill>
    <fill>
      <patternFill patternType="solid">
        <fgColor theme="7" tint="0.29999694814905242"/>
        <bgColor indexed="64"/>
      </patternFill>
    </fill>
    <fill>
      <patternFill patternType="solid">
        <fgColor theme="7" tint="0.749992370372631"/>
        <bgColor indexed="64"/>
      </patternFill>
    </fill>
    <fill>
      <patternFill patternType="solid">
        <fgColor theme="8" tint="0.29999694814905242"/>
        <bgColor indexed="64"/>
      </patternFill>
    </fill>
    <fill>
      <patternFill patternType="solid">
        <fgColor theme="8" tint="0.749992370372631"/>
        <bgColor indexed="64"/>
      </patternFill>
    </fill>
    <fill>
      <patternFill patternType="solid">
        <fgColor rgb="FFEA0015" tint="0.249977111117893"/>
        <bgColor indexed="64"/>
      </patternFill>
    </fill>
    <fill>
      <patternFill patternType="solid">
        <fgColor rgb="FFD5002A" tint="0.249977111117893"/>
        <bgColor indexed="64"/>
      </patternFill>
    </fill>
    <fill>
      <patternFill patternType="solid">
        <fgColor rgb="FFBF0040" tint="0.249977111117893"/>
        <bgColor indexed="64"/>
      </patternFill>
    </fill>
    <fill>
      <patternFill patternType="solid">
        <fgColor rgb="FFAA0055" tint="0.249977111117893"/>
        <bgColor indexed="64"/>
      </patternFill>
    </fill>
    <fill>
      <patternFill patternType="solid">
        <fgColor rgb="FF95006A" tint="0.249977111117893"/>
        <bgColor indexed="64"/>
      </patternFill>
    </fill>
    <fill>
      <patternFill patternType="solid">
        <fgColor rgb="FF800080" tint="0.249977111117893"/>
        <bgColor indexed="64"/>
      </patternFill>
    </fill>
    <fill>
      <patternFill patternType="solid">
        <fgColor rgb="FF6A0095" tint="0.249977111117893"/>
        <bgColor indexed="64"/>
      </patternFill>
    </fill>
    <fill>
      <patternFill patternType="solid">
        <fgColor rgb="FF5500AA" tint="0.249977111117893"/>
        <bgColor indexed="64"/>
      </patternFill>
    </fill>
    <fill>
      <patternFill patternType="solid">
        <fgColor rgb="FF4000BF" tint="0.249977111117893"/>
        <bgColor indexed="64"/>
      </patternFill>
    </fill>
    <fill>
      <patternFill patternType="solid">
        <fgColor rgb="FF2A00D5" tint="0.249977111117893"/>
        <bgColor indexed="64"/>
      </patternFill>
    </fill>
    <fill>
      <patternFill patternType="solid">
        <fgColor rgb="FF1500EA" tint="0.249977111117893"/>
        <bgColor indexed="64"/>
      </patternFill>
    </fill>
    <fill>
      <patternFill patternType="solid">
        <fgColor rgb="FF0000FF" tint="0.249977111117893"/>
        <bgColor indexed="64"/>
      </patternFill>
    </fill>
    <fill>
      <gradientFill degree="180">
        <stop position="0">
          <color rgb="FFA700EE" tint="-0.19998779259620961"/>
        </stop>
        <stop position="1">
          <color rgb="FFA700EE"/>
        </stop>
      </gradientFill>
    </fill>
    <fill>
      <gradientFill degree="180">
        <stop position="0">
          <color rgb="FFDF00DF" tint="-0.19998779259620961"/>
        </stop>
        <stop position="1">
          <color rgb="FFDF00DF"/>
        </stop>
      </gradient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73">
    <xf numFmtId="0" fontId="0" fillId="0" borderId="0" xfId="0"/>
    <xf numFmtId="164" fontId="0" fillId="0" borderId="0" xfId="0" applyNumberFormat="1"/>
    <xf numFmtId="1" fontId="0" fillId="0" borderId="0" xfId="0" applyNumberFormat="1"/>
    <xf numFmtId="0" fontId="1" fillId="0" borderId="0" xfId="0" applyFont="1" applyAlignment="1">
      <alignment horizontal="center" vertical="center"/>
    </xf>
    <xf numFmtId="0" fontId="2" fillId="2" borderId="0" xfId="0" applyFont="1" applyFill="1"/>
    <xf numFmtId="0" fontId="3" fillId="3" borderId="0" xfId="0" applyFont="1" applyFill="1"/>
    <xf numFmtId="0" fontId="3" fillId="0" borderId="0" xfId="0" applyFont="1"/>
    <xf numFmtId="0" fontId="4" fillId="3" borderId="0" xfId="0" applyFont="1" applyFill="1"/>
    <xf numFmtId="0" fontId="4" fillId="0" borderId="0" xfId="0" applyFont="1"/>
    <xf numFmtId="166" fontId="4" fillId="3" borderId="0" xfId="0" applyNumberFormat="1" applyFont="1" applyFill="1"/>
    <xf numFmtId="166" fontId="4" fillId="0" borderId="0" xfId="0" applyNumberFormat="1" applyFont="1"/>
    <xf numFmtId="166" fontId="3" fillId="3" borderId="0" xfId="0" applyNumberFormat="1" applyFont="1" applyFill="1"/>
    <xf numFmtId="166" fontId="3" fillId="0" borderId="0" xfId="0" applyNumberFormat="1" applyFont="1"/>
    <xf numFmtId="169" fontId="4" fillId="3" borderId="0" xfId="0" applyNumberFormat="1" applyFont="1" applyFill="1"/>
    <xf numFmtId="169" fontId="4" fillId="0" borderId="0" xfId="0" applyNumberFormat="1" applyFont="1"/>
    <xf numFmtId="168" fontId="3" fillId="3" borderId="0" xfId="0" applyNumberFormat="1" applyFont="1" applyFill="1"/>
    <xf numFmtId="168" fontId="3" fillId="0" borderId="0" xfId="0" applyNumberFormat="1" applyFont="1"/>
    <xf numFmtId="0" fontId="3" fillId="12" borderId="0" xfId="0" applyFont="1" applyFill="1"/>
    <xf numFmtId="167" fontId="3" fillId="12" borderId="0" xfId="0" applyNumberFormat="1" applyFont="1" applyFill="1"/>
    <xf numFmtId="0" fontId="3" fillId="13" borderId="0" xfId="0" applyFont="1" applyFill="1"/>
    <xf numFmtId="167" fontId="3" fillId="13" borderId="0" xfId="0" applyNumberFormat="1" applyFont="1" applyFill="1"/>
    <xf numFmtId="0" fontId="3" fillId="14" borderId="0" xfId="0" applyFont="1" applyFill="1"/>
    <xf numFmtId="167" fontId="3" fillId="14" borderId="0" xfId="0" applyNumberFormat="1" applyFont="1" applyFill="1"/>
    <xf numFmtId="0" fontId="3" fillId="15" borderId="0" xfId="0" applyFont="1" applyFill="1"/>
    <xf numFmtId="167" fontId="3" fillId="15" borderId="0" xfId="0" applyNumberFormat="1" applyFont="1" applyFill="1"/>
    <xf numFmtId="0" fontId="3" fillId="16" borderId="0" xfId="0" applyFont="1" applyFill="1"/>
    <xf numFmtId="167" fontId="3" fillId="16" borderId="0" xfId="0" applyNumberFormat="1" applyFont="1" applyFill="1"/>
    <xf numFmtId="0" fontId="3" fillId="17" borderId="0" xfId="0" applyFont="1" applyFill="1"/>
    <xf numFmtId="167" fontId="3" fillId="17" borderId="0" xfId="0" applyNumberFormat="1" applyFont="1" applyFill="1"/>
    <xf numFmtId="0" fontId="3" fillId="18" borderId="0" xfId="0" applyFont="1" applyFill="1"/>
    <xf numFmtId="167" fontId="3" fillId="18" borderId="0" xfId="0" applyNumberFormat="1" applyFont="1" applyFill="1"/>
    <xf numFmtId="0" fontId="3" fillId="19" borderId="0" xfId="0" applyFont="1" applyFill="1"/>
    <xf numFmtId="167" fontId="3" fillId="19" borderId="0" xfId="0" applyNumberFormat="1" applyFont="1" applyFill="1"/>
    <xf numFmtId="0" fontId="3" fillId="20" borderId="0" xfId="0" applyFont="1" applyFill="1"/>
    <xf numFmtId="167" fontId="3" fillId="20" borderId="0" xfId="0" applyNumberFormat="1" applyFont="1" applyFill="1"/>
    <xf numFmtId="0" fontId="3" fillId="21" borderId="0" xfId="0" applyFont="1" applyFill="1"/>
    <xf numFmtId="167" fontId="3" fillId="21" borderId="0" xfId="0" applyNumberFormat="1" applyFont="1" applyFill="1"/>
    <xf numFmtId="0" fontId="3" fillId="22" borderId="0" xfId="0" applyFont="1" applyFill="1"/>
    <xf numFmtId="167" fontId="3" fillId="22" borderId="0" xfId="0" applyNumberFormat="1" applyFont="1" applyFill="1"/>
    <xf numFmtId="0" fontId="3" fillId="23" borderId="0" xfId="0" applyFont="1" applyFill="1"/>
    <xf numFmtId="167" fontId="3" fillId="23" borderId="0" xfId="0" applyNumberFormat="1" applyFont="1" applyFill="1"/>
    <xf numFmtId="170" fontId="5" fillId="0" borderId="0" xfId="0" applyNumberFormat="1" applyFont="1"/>
    <xf numFmtId="0" fontId="2" fillId="4" borderId="0" xfId="0" applyFont="1" applyFill="1"/>
    <xf numFmtId="0" fontId="4" fillId="5" borderId="0" xfId="0" applyFont="1" applyFill="1"/>
    <xf numFmtId="0" fontId="3" fillId="5" borderId="0" xfId="0" applyFont="1" applyFill="1"/>
    <xf numFmtId="14" fontId="4" fillId="5" borderId="0" xfId="0" applyNumberFormat="1" applyFont="1" applyFill="1"/>
    <xf numFmtId="14" fontId="4" fillId="0" borderId="0" xfId="0" applyNumberFormat="1" applyFont="1"/>
    <xf numFmtId="22" fontId="3" fillId="5" borderId="0" xfId="0" applyNumberFormat="1" applyFont="1" applyFill="1"/>
    <xf numFmtId="22" fontId="3" fillId="0" borderId="0" xfId="0" applyNumberFormat="1" applyFont="1"/>
    <xf numFmtId="0" fontId="2" fillId="6" borderId="0" xfId="0" applyFont="1" applyFill="1"/>
    <xf numFmtId="0" fontId="4" fillId="7" borderId="0" xfId="0" applyFont="1" applyFill="1"/>
    <xf numFmtId="0" fontId="3" fillId="7" borderId="0" xfId="0" applyFont="1" applyFill="1"/>
    <xf numFmtId="22" fontId="3" fillId="7" borderId="0" xfId="0" applyNumberFormat="1" applyFont="1" applyFill="1"/>
    <xf numFmtId="0" fontId="2" fillId="8" borderId="0" xfId="0" applyFont="1" applyFill="1"/>
    <xf numFmtId="0" fontId="3" fillId="9" borderId="0" xfId="0" applyFont="1" applyFill="1"/>
    <xf numFmtId="0" fontId="4" fillId="9" borderId="0" xfId="0" applyFont="1" applyFill="1"/>
    <xf numFmtId="16" fontId="4" fillId="9" borderId="0" xfId="0" applyNumberFormat="1" applyFont="1" applyFill="1"/>
    <xf numFmtId="22" fontId="3" fillId="9" borderId="0" xfId="0" applyNumberFormat="1" applyFont="1" applyFill="1"/>
    <xf numFmtId="0" fontId="2" fillId="10" borderId="0" xfId="0" applyFont="1" applyFill="1"/>
    <xf numFmtId="0" fontId="3" fillId="11" borderId="0" xfId="0" applyFont="1" applyFill="1"/>
    <xf numFmtId="14" fontId="4" fillId="11" borderId="0" xfId="0" applyNumberFormat="1" applyFont="1" applyFill="1"/>
    <xf numFmtId="22" fontId="4" fillId="11" borderId="0" xfId="0" applyNumberFormat="1" applyFont="1" applyFill="1"/>
    <xf numFmtId="0" fontId="4" fillId="11" borderId="0" xfId="0" applyFont="1" applyFill="1"/>
    <xf numFmtId="19" fontId="4" fillId="11" borderId="0" xfId="0" applyNumberFormat="1" applyFont="1" applyFill="1"/>
    <xf numFmtId="19" fontId="4" fillId="0" borderId="0" xfId="0" applyNumberFormat="1" applyFont="1"/>
    <xf numFmtId="19" fontId="3" fillId="11" borderId="0" xfId="0" applyNumberFormat="1" applyFont="1" applyFill="1"/>
    <xf numFmtId="19" fontId="3" fillId="0" borderId="0" xfId="0" applyNumberFormat="1" applyFont="1"/>
    <xf numFmtId="165" fontId="0" fillId="0" borderId="0" xfId="0" applyNumberFormat="1" applyAlignment="1">
      <alignment horizontal="center" vertical="center"/>
    </xf>
    <xf numFmtId="0" fontId="0" fillId="24" borderId="1" xfId="0" applyFill="1" applyBorder="1" applyAlignment="1">
      <alignment horizontal="center" vertical="center" wrapText="1"/>
    </xf>
    <xf numFmtId="0" fontId="0" fillId="24" borderId="1" xfId="0" applyFill="1" applyBorder="1" applyAlignment="1">
      <alignment horizontal="center" vertical="center"/>
    </xf>
    <xf numFmtId="0" fontId="0" fillId="25" borderId="1" xfId="0" applyFill="1" applyBorder="1" applyAlignment="1">
      <alignment horizontal="center" vertical="center" wrapText="1"/>
    </xf>
    <xf numFmtId="0" fontId="0" fillId="25" borderId="1" xfId="0" applyFill="1" applyBorder="1" applyAlignment="1">
      <alignment horizontal="center" vertical="center"/>
    </xf>
    <xf numFmtId="22" fontId="4" fillId="5" borderId="0" xfId="0" applyNumberFormat="1" applyFont="1" applyFill="1"/>
  </cellXfs>
  <cellStyles count="1">
    <cellStyle name="Normal" xfId="0" builtinId="0"/>
  </cellStyles>
  <dxfs count="413">
    <dxf>
      <fill>
        <patternFill>
          <bgColor rgb="FF00FF00" tint="0.59999389629810485"/>
        </patternFill>
      </fill>
    </dxf>
    <dxf>
      <fill>
        <patternFill>
          <bgColor rgb="FFFFFF00" tint="0.59999389629810485"/>
        </patternFill>
      </fill>
    </dxf>
    <dxf>
      <fill>
        <patternFill>
          <bgColor rgb="FFFF0000" tint="0.59999389629810485"/>
        </patternFill>
      </fill>
    </dxf>
    <dxf>
      <fill>
        <patternFill>
          <bgColor rgb="FF00FF00" tint="0.59999389629810485"/>
        </patternFill>
      </fill>
    </dxf>
    <dxf>
      <fill>
        <patternFill>
          <bgColor rgb="FFA5FF50" tint="0.59999389629810485"/>
        </patternFill>
      </fill>
    </dxf>
    <dxf>
      <fill>
        <patternFill>
          <bgColor rgb="FFFFFF00" tint="0.59999389629810485"/>
        </patternFill>
      </fill>
    </dxf>
    <dxf>
      <fill>
        <patternFill>
          <bgColor rgb="FFFFFF00" tint="0.59999389629810485"/>
        </patternFill>
      </fill>
    </dxf>
    <dxf>
      <fill>
        <patternFill>
          <bgColor rgb="FFFFA500" tint="0.59999389629810485"/>
        </patternFill>
      </fill>
    </dxf>
    <dxf>
      <fill>
        <patternFill>
          <bgColor rgb="FFFF0000" tint="0.59999389629810485"/>
        </patternFill>
      </fill>
    </dxf>
    <dxf>
      <fill>
        <patternFill>
          <bgColor rgb="FF00FF00" tint="0.59999389629810485"/>
        </patternFill>
      </fill>
    </dxf>
    <dxf>
      <fill>
        <patternFill>
          <bgColor rgb="FFFFFF00" tint="0.59999389629810485"/>
        </patternFill>
      </fill>
    </dxf>
    <dxf>
      <fill>
        <patternFill>
          <bgColor rgb="FFFF0000" tint="0.59999389629810485"/>
        </patternFill>
      </fill>
    </dxf>
    <dxf>
      <fill>
        <patternFill>
          <bgColor rgb="FF00FF00" tint="0.59999389629810485"/>
        </patternFill>
      </fill>
    </dxf>
    <dxf>
      <fill>
        <patternFill>
          <bgColor rgb="FFA5FF50" tint="0.59999389629810485"/>
        </patternFill>
      </fill>
    </dxf>
    <dxf>
      <fill>
        <patternFill>
          <bgColor rgb="FFFFFF00" tint="0.59999389629810485"/>
        </patternFill>
      </fill>
    </dxf>
    <dxf>
      <fill>
        <patternFill>
          <bgColor rgb="FFFFFF00" tint="0.59999389629810485"/>
        </patternFill>
      </fill>
    </dxf>
    <dxf>
      <fill>
        <patternFill>
          <bgColor rgb="FFFFA500" tint="0.59999389629810485"/>
        </patternFill>
      </fill>
    </dxf>
    <dxf>
      <fill>
        <patternFill>
          <bgColor rgb="FFFF0000" tint="0.59999389629810485"/>
        </patternFill>
      </fill>
    </dxf>
    <dxf>
      <fill>
        <patternFill>
          <bgColor rgb="FF00FF00" tint="0.59999389629810485"/>
        </patternFill>
      </fill>
    </dxf>
    <dxf>
      <fill>
        <patternFill>
          <bgColor rgb="FFFFFF00" tint="0.59999389629810485"/>
        </patternFill>
      </fill>
    </dxf>
    <dxf>
      <fill>
        <patternFill>
          <bgColor rgb="FFFF0000" tint="0.59999389629810485"/>
        </patternFill>
      </fill>
    </dxf>
    <dxf>
      <fill>
        <patternFill>
          <bgColor rgb="FF00FF00" tint="0.59999389629810485"/>
        </patternFill>
      </fill>
    </dxf>
    <dxf>
      <fill>
        <patternFill>
          <bgColor rgb="FFA5FF50" tint="0.59999389629810485"/>
        </patternFill>
      </fill>
    </dxf>
    <dxf>
      <fill>
        <patternFill>
          <bgColor rgb="FFFFFF00" tint="0.59999389629810485"/>
        </patternFill>
      </fill>
    </dxf>
    <dxf>
      <fill>
        <patternFill>
          <bgColor rgb="FFFFFF00" tint="0.59999389629810485"/>
        </patternFill>
      </fill>
    </dxf>
    <dxf>
      <fill>
        <patternFill>
          <bgColor rgb="FFFFA500" tint="0.59999389629810485"/>
        </patternFill>
      </fill>
    </dxf>
    <dxf>
      <fill>
        <patternFill>
          <bgColor rgb="FFFF0000" tint="0.59999389629810485"/>
        </patternFill>
      </fill>
    </dxf>
    <dxf>
      <fill>
        <patternFill>
          <bgColor rgb="FF00FF00" tint="0.59999389629810485"/>
        </patternFill>
      </fill>
    </dxf>
    <dxf>
      <fill>
        <patternFill>
          <bgColor rgb="FF00FF00" tint="0.59999389629810485"/>
        </patternFill>
      </fill>
    </dxf>
    <dxf>
      <fill>
        <patternFill>
          <bgColor rgb="FFA5FF50" tint="0.59999389629810485"/>
        </patternFill>
      </fill>
    </dxf>
    <dxf>
      <fill>
        <patternFill>
          <bgColor rgb="FFFFFF00" tint="0.59999389629810485"/>
        </patternFill>
      </fill>
    </dxf>
    <dxf>
      <fill>
        <patternFill>
          <bgColor rgb="FFFFA500" tint="0.59999389629810485"/>
        </patternFill>
      </fill>
    </dxf>
    <dxf>
      <fill>
        <patternFill>
          <bgColor rgb="FFFF0000" tint="0.59999389629810485"/>
        </patternFill>
      </fill>
    </dxf>
    <dxf>
      <fill>
        <patternFill>
          <bgColor rgb="FF00FF00" tint="0.59999389629810485"/>
        </patternFill>
      </fill>
    </dxf>
    <dxf>
      <fill>
        <patternFill>
          <bgColor rgb="FFFFFF00" tint="0.59999389629810485"/>
        </patternFill>
      </fill>
    </dxf>
    <dxf>
      <fill>
        <patternFill>
          <bgColor rgb="FFFF0000" tint="0.59999389629810485"/>
        </patternFill>
      </fill>
    </dxf>
    <dxf>
      <fill>
        <patternFill>
          <bgColor rgb="FF00FF00" tint="0.59999389629810485"/>
        </patternFill>
      </fill>
    </dxf>
    <dxf>
      <fill>
        <patternFill>
          <bgColor rgb="FFA5FF50" tint="0.59999389629810485"/>
        </patternFill>
      </fill>
    </dxf>
    <dxf>
      <fill>
        <patternFill>
          <bgColor rgb="FFFFFF00" tint="0.59999389629810485"/>
        </patternFill>
      </fill>
    </dxf>
    <dxf>
      <fill>
        <patternFill>
          <bgColor rgb="FFFFFF00" tint="0.59999389629810485"/>
        </patternFill>
      </fill>
    </dxf>
    <dxf>
      <fill>
        <patternFill>
          <bgColor rgb="FFFFA500" tint="0.59999389629810485"/>
        </patternFill>
      </fill>
    </dxf>
    <dxf>
      <fill>
        <patternFill>
          <bgColor rgb="FFFF0000" tint="0.59999389629810485"/>
        </patternFill>
      </fill>
    </dxf>
    <dxf>
      <fill>
        <patternFill>
          <bgColor rgb="FF00FF00" tint="0.59999389629810485"/>
        </patternFill>
      </fill>
    </dxf>
    <dxf>
      <fill>
        <patternFill>
          <bgColor rgb="FFFFFF00" tint="0.59999389629810485"/>
        </patternFill>
      </fill>
    </dxf>
    <dxf>
      <fill>
        <patternFill>
          <bgColor rgb="FFFF0000" tint="0.59999389629810485"/>
        </patternFill>
      </fill>
    </dxf>
    <dxf>
      <fill>
        <patternFill>
          <bgColor rgb="FF00FF00" tint="0.59999389629810485"/>
        </patternFill>
      </fill>
    </dxf>
    <dxf>
      <fill>
        <patternFill>
          <bgColor rgb="FFA5FF50" tint="0.59999389629810485"/>
        </patternFill>
      </fill>
    </dxf>
    <dxf>
      <fill>
        <patternFill>
          <bgColor rgb="FFFFFF00" tint="0.59999389629810485"/>
        </patternFill>
      </fill>
    </dxf>
    <dxf>
      <fill>
        <patternFill>
          <bgColor rgb="FFFFFF00" tint="0.59999389629810485"/>
        </patternFill>
      </fill>
    </dxf>
    <dxf>
      <fill>
        <patternFill>
          <bgColor rgb="FFFFA500" tint="0.59999389629810485"/>
        </patternFill>
      </fill>
    </dxf>
    <dxf>
      <fill>
        <patternFill>
          <bgColor rgb="FFFF0000" tint="0.59999389629810485"/>
        </patternFill>
      </fill>
    </dxf>
    <dxf>
      <fill>
        <patternFill>
          <bgColor rgb="FF00FF00" tint="0.59999389629810485"/>
        </patternFill>
      </fill>
    </dxf>
    <dxf>
      <fill>
        <patternFill>
          <bgColor rgb="FFFFFF00" tint="0.59999389629810485"/>
        </patternFill>
      </fill>
    </dxf>
    <dxf>
      <fill>
        <patternFill>
          <bgColor rgb="FFFF0000" tint="0.59999389629810485"/>
        </patternFill>
      </fill>
    </dxf>
    <dxf>
      <fill>
        <patternFill>
          <bgColor rgb="FF00FF00" tint="0.59999389629810485"/>
        </patternFill>
      </fill>
    </dxf>
    <dxf>
      <fill>
        <patternFill>
          <bgColor rgb="FFA5FF50" tint="0.59999389629810485"/>
        </patternFill>
      </fill>
    </dxf>
    <dxf>
      <fill>
        <patternFill>
          <bgColor rgb="FFFFFF00" tint="0.59999389629810485"/>
        </patternFill>
      </fill>
    </dxf>
    <dxf>
      <fill>
        <patternFill>
          <bgColor rgb="FFFFFF00" tint="0.59999389629810485"/>
        </patternFill>
      </fill>
    </dxf>
    <dxf>
      <fill>
        <patternFill>
          <bgColor rgb="FFFFA500" tint="0.59999389629810485"/>
        </patternFill>
      </fill>
    </dxf>
    <dxf>
      <fill>
        <patternFill>
          <bgColor rgb="FFFF0000" tint="0.59999389629810485"/>
        </patternFill>
      </fill>
    </dxf>
    <dxf>
      <fill>
        <patternFill>
          <bgColor rgb="FF00FF00" tint="0.59999389629810485"/>
        </patternFill>
      </fill>
    </dxf>
    <dxf>
      <fill>
        <patternFill>
          <bgColor rgb="FFFFFF00" tint="0.59999389629810485"/>
        </patternFill>
      </fill>
    </dxf>
    <dxf>
      <fill>
        <patternFill>
          <bgColor rgb="FFFF0000" tint="0.59999389629810485"/>
        </patternFill>
      </fill>
    </dxf>
    <dxf>
      <fill>
        <patternFill>
          <bgColor rgb="FF00FF00" tint="0.59999389629810485"/>
        </patternFill>
      </fill>
    </dxf>
    <dxf>
      <fill>
        <patternFill>
          <bgColor rgb="FFA5FF50" tint="0.59999389629810485"/>
        </patternFill>
      </fill>
    </dxf>
    <dxf>
      <fill>
        <patternFill>
          <bgColor rgb="FFFFFF00" tint="0.59999389629810485"/>
        </patternFill>
      </fill>
    </dxf>
    <dxf>
      <fill>
        <patternFill>
          <bgColor rgb="FFFFFF00" tint="0.59999389629810485"/>
        </patternFill>
      </fill>
    </dxf>
    <dxf>
      <fill>
        <patternFill>
          <bgColor rgb="FFFFA500" tint="0.59999389629810485"/>
        </patternFill>
      </fill>
    </dxf>
    <dxf>
      <fill>
        <patternFill>
          <bgColor rgb="FFFF0000" tint="0.59999389629810485"/>
        </patternFill>
      </fill>
    </dxf>
    <dxf>
      <fill>
        <patternFill>
          <bgColor rgb="FF00FF00" tint="0.59999389629810485"/>
        </patternFill>
      </fill>
    </dxf>
    <dxf>
      <fill>
        <patternFill>
          <bgColor rgb="FFFFFF00" tint="0.59999389629810485"/>
        </patternFill>
      </fill>
    </dxf>
    <dxf>
      <fill>
        <patternFill>
          <bgColor rgb="FFFF0000" tint="0.59999389629810485"/>
        </patternFill>
      </fill>
    </dxf>
    <dxf>
      <fill>
        <patternFill>
          <bgColor rgb="FF00FF00" tint="0.59999389629810485"/>
        </patternFill>
      </fill>
    </dxf>
    <dxf>
      <fill>
        <patternFill>
          <bgColor rgb="FFA5FF50" tint="0.59999389629810485"/>
        </patternFill>
      </fill>
    </dxf>
    <dxf>
      <fill>
        <patternFill>
          <bgColor rgb="FFFFFF00" tint="0.59999389629810485"/>
        </patternFill>
      </fill>
    </dxf>
    <dxf>
      <fill>
        <patternFill>
          <bgColor rgb="FFFFFF00" tint="0.59999389629810485"/>
        </patternFill>
      </fill>
    </dxf>
    <dxf>
      <fill>
        <patternFill>
          <bgColor rgb="FFFFA500" tint="0.59999389629810485"/>
        </patternFill>
      </fill>
    </dxf>
    <dxf>
      <fill>
        <patternFill>
          <bgColor rgb="FFFF0000" tint="0.59999389629810485"/>
        </patternFill>
      </fill>
    </dxf>
    <dxf>
      <fill>
        <patternFill>
          <bgColor rgb="FF00FF00" tint="0.59999389629810485"/>
        </patternFill>
      </fill>
    </dxf>
    <dxf>
      <fill>
        <patternFill>
          <bgColor rgb="FFFFFF00" tint="0.59999389629810485"/>
        </patternFill>
      </fill>
    </dxf>
    <dxf>
      <fill>
        <patternFill>
          <bgColor rgb="FFFF0000" tint="0.59999389629810485"/>
        </patternFill>
      </fill>
    </dxf>
    <dxf>
      <fill>
        <patternFill>
          <bgColor rgb="FF00FF00" tint="0.59999389629810485"/>
        </patternFill>
      </fill>
    </dxf>
    <dxf>
      <fill>
        <patternFill>
          <bgColor rgb="FFA5FF50" tint="0.59999389629810485"/>
        </patternFill>
      </fill>
    </dxf>
    <dxf>
      <fill>
        <patternFill>
          <bgColor rgb="FFFFFF00" tint="0.59999389629810485"/>
        </patternFill>
      </fill>
    </dxf>
    <dxf>
      <fill>
        <patternFill>
          <bgColor rgb="FFFFFF00" tint="0.59999389629810485"/>
        </patternFill>
      </fill>
    </dxf>
    <dxf>
      <fill>
        <patternFill>
          <bgColor rgb="FFFFA500" tint="0.59999389629810485"/>
        </patternFill>
      </fill>
    </dxf>
    <dxf>
      <fill>
        <patternFill>
          <bgColor rgb="FFFF0000" tint="0.59999389629810485"/>
        </patternFill>
      </fill>
    </dxf>
    <dxf>
      <fill>
        <patternFill>
          <bgColor rgb="FF00FF00" tint="0.59999389629810485"/>
        </patternFill>
      </fill>
    </dxf>
    <dxf>
      <fill>
        <patternFill>
          <bgColor rgb="FFFFFF00" tint="0.59999389629810485"/>
        </patternFill>
      </fill>
    </dxf>
    <dxf>
      <fill>
        <patternFill>
          <bgColor rgb="FFFF0000" tint="0.59999389629810485"/>
        </patternFill>
      </fill>
    </dxf>
    <dxf>
      <fill>
        <patternFill>
          <bgColor rgb="FF00FF00" tint="0.59999389629810485"/>
        </patternFill>
      </fill>
    </dxf>
    <dxf>
      <fill>
        <patternFill>
          <bgColor rgb="FFA5FF50" tint="0.59999389629810485"/>
        </patternFill>
      </fill>
    </dxf>
    <dxf>
      <fill>
        <patternFill>
          <bgColor rgb="FFFFFF00" tint="0.59999389629810485"/>
        </patternFill>
      </fill>
    </dxf>
    <dxf>
      <fill>
        <patternFill>
          <bgColor rgb="FFFFFF00" tint="0.59999389629810485"/>
        </patternFill>
      </fill>
    </dxf>
    <dxf>
      <fill>
        <patternFill>
          <bgColor rgb="FFFFA500" tint="0.59999389629810485"/>
        </patternFill>
      </fill>
    </dxf>
    <dxf>
      <fill>
        <patternFill>
          <bgColor rgb="FFFF0000" tint="0.59999389629810485"/>
        </patternFill>
      </fill>
    </dxf>
    <dxf>
      <fill>
        <patternFill>
          <bgColor rgb="FF00FF00" tint="0.59999389629810485"/>
        </patternFill>
      </fill>
    </dxf>
    <dxf>
      <fill>
        <patternFill>
          <bgColor rgb="FFFFFF00" tint="0.59999389629810485"/>
        </patternFill>
      </fill>
    </dxf>
    <dxf>
      <fill>
        <patternFill>
          <bgColor rgb="FFFF0000" tint="0.59999389629810485"/>
        </patternFill>
      </fill>
    </dxf>
    <dxf>
      <fill>
        <patternFill>
          <bgColor rgb="FF00FF00" tint="0.59999389629810485"/>
        </patternFill>
      </fill>
    </dxf>
    <dxf>
      <fill>
        <patternFill>
          <bgColor rgb="FFA5FF50" tint="0.59999389629810485"/>
        </patternFill>
      </fill>
    </dxf>
    <dxf>
      <fill>
        <patternFill>
          <bgColor rgb="FFFFFF00" tint="0.59999389629810485"/>
        </patternFill>
      </fill>
    </dxf>
    <dxf>
      <fill>
        <patternFill>
          <bgColor rgb="FFFFFF00" tint="0.59999389629810485"/>
        </patternFill>
      </fill>
    </dxf>
    <dxf>
      <fill>
        <patternFill>
          <bgColor rgb="FFFFA500" tint="0.59999389629810485"/>
        </patternFill>
      </fill>
    </dxf>
    <dxf>
      <fill>
        <patternFill>
          <bgColor rgb="FFFF0000" tint="0.59999389629810485"/>
        </patternFill>
      </fill>
    </dxf>
    <dxf>
      <fill>
        <patternFill>
          <bgColor rgb="FF00FF00" tint="0.59999389629810485"/>
        </patternFill>
      </fill>
    </dxf>
    <dxf>
      <fill>
        <patternFill>
          <bgColor rgb="FFFFFF00" tint="0.59999389629810485"/>
        </patternFill>
      </fill>
    </dxf>
    <dxf>
      <fill>
        <patternFill>
          <bgColor rgb="FFFF0000" tint="0.59999389629810485"/>
        </patternFill>
      </fill>
    </dxf>
    <dxf>
      <fill>
        <patternFill>
          <bgColor rgb="FF00FF00" tint="0.59999389629810485"/>
        </patternFill>
      </fill>
    </dxf>
    <dxf>
      <fill>
        <patternFill>
          <bgColor rgb="FFA5FF50" tint="0.59999389629810485"/>
        </patternFill>
      </fill>
    </dxf>
    <dxf>
      <fill>
        <patternFill>
          <bgColor rgb="FFFFFF00" tint="0.59999389629810485"/>
        </patternFill>
      </fill>
    </dxf>
    <dxf>
      <fill>
        <patternFill>
          <bgColor rgb="FFFFFF00" tint="0.59999389629810485"/>
        </patternFill>
      </fill>
    </dxf>
    <dxf>
      <fill>
        <patternFill>
          <bgColor rgb="FFFFA500" tint="0.59999389629810485"/>
        </patternFill>
      </fill>
    </dxf>
    <dxf>
      <fill>
        <patternFill>
          <bgColor rgb="FFFF0000" tint="0.59999389629810485"/>
        </patternFill>
      </fill>
    </dxf>
    <dxf>
      <fill>
        <patternFill>
          <bgColor rgb="FF00FF00" tint="0.59999389629810485"/>
        </patternFill>
      </fill>
    </dxf>
    <dxf>
      <fill>
        <patternFill>
          <bgColor rgb="FFFFFF00" tint="0.59999389629810485"/>
        </patternFill>
      </fill>
    </dxf>
    <dxf>
      <fill>
        <patternFill>
          <bgColor rgb="FFFF0000" tint="0.59999389629810485"/>
        </patternFill>
      </fill>
    </dxf>
    <dxf>
      <fill>
        <patternFill>
          <bgColor rgb="FF00FF00" tint="0.59999389629810485"/>
        </patternFill>
      </fill>
    </dxf>
    <dxf>
      <fill>
        <patternFill>
          <bgColor rgb="FFA5FF50" tint="0.59999389629810485"/>
        </patternFill>
      </fill>
    </dxf>
    <dxf>
      <fill>
        <patternFill>
          <bgColor rgb="FFFFFF00" tint="0.59999389629810485"/>
        </patternFill>
      </fill>
    </dxf>
    <dxf>
      <fill>
        <patternFill>
          <bgColor rgb="FFFFFF00" tint="0.59999389629810485"/>
        </patternFill>
      </fill>
    </dxf>
    <dxf>
      <fill>
        <patternFill>
          <bgColor rgb="FFFFA500" tint="0.59999389629810485"/>
        </patternFill>
      </fill>
    </dxf>
    <dxf>
      <fill>
        <patternFill>
          <bgColor rgb="FFFF0000" tint="0.59999389629810485"/>
        </patternFill>
      </fill>
    </dxf>
    <dxf>
      <fill>
        <patternFill>
          <bgColor rgb="FF00FF00" tint="0.59999389629810485"/>
        </patternFill>
      </fill>
    </dxf>
    <dxf>
      <fill>
        <patternFill>
          <bgColor rgb="FFFFFF00" tint="0.59999389629810485"/>
        </patternFill>
      </fill>
    </dxf>
    <dxf>
      <fill>
        <patternFill>
          <bgColor rgb="FFFF0000" tint="0.59999389629810485"/>
        </patternFill>
      </fill>
    </dxf>
    <dxf>
      <fill>
        <patternFill>
          <bgColor rgb="FF00FF00" tint="0.59999389629810485"/>
        </patternFill>
      </fill>
    </dxf>
    <dxf>
      <fill>
        <patternFill>
          <bgColor rgb="FFA5FF50" tint="0.59999389629810485"/>
        </patternFill>
      </fill>
    </dxf>
    <dxf>
      <fill>
        <patternFill>
          <bgColor rgb="FFFFFF00" tint="0.59999389629810485"/>
        </patternFill>
      </fill>
    </dxf>
    <dxf>
      <fill>
        <patternFill>
          <bgColor rgb="FFFFFF00" tint="0.59999389629810485"/>
        </patternFill>
      </fill>
    </dxf>
    <dxf>
      <fill>
        <patternFill>
          <bgColor rgb="FFFFA500" tint="0.59999389629810485"/>
        </patternFill>
      </fill>
    </dxf>
    <dxf>
      <fill>
        <patternFill>
          <bgColor rgb="FFFF0000" tint="0.59999389629810485"/>
        </patternFill>
      </fill>
    </dxf>
    <dxf>
      <fill>
        <patternFill>
          <bgColor rgb="FF00FF00" tint="0.59999389629810485"/>
        </patternFill>
      </fill>
    </dxf>
    <dxf>
      <fill>
        <patternFill>
          <bgColor rgb="FFFFFF00" tint="0.59999389629810485"/>
        </patternFill>
      </fill>
    </dxf>
    <dxf>
      <fill>
        <patternFill>
          <bgColor rgb="FFFF0000" tint="0.59999389629810485"/>
        </patternFill>
      </fill>
    </dxf>
    <dxf>
      <fill>
        <patternFill>
          <bgColor rgb="FF00FF00" tint="0.59999389629810485"/>
        </patternFill>
      </fill>
    </dxf>
    <dxf>
      <fill>
        <patternFill>
          <bgColor rgb="FFA5FF50" tint="0.59999389629810485"/>
        </patternFill>
      </fill>
    </dxf>
    <dxf>
      <fill>
        <patternFill>
          <bgColor rgb="FFFFFF00" tint="0.59999389629810485"/>
        </patternFill>
      </fill>
    </dxf>
    <dxf>
      <fill>
        <patternFill>
          <bgColor rgb="FFFFFF00" tint="0.59999389629810485"/>
        </patternFill>
      </fill>
    </dxf>
    <dxf>
      <fill>
        <patternFill>
          <bgColor rgb="FFFFA500" tint="0.59999389629810485"/>
        </patternFill>
      </fill>
    </dxf>
    <dxf>
      <fill>
        <patternFill>
          <bgColor rgb="FFFF0000" tint="0.59999389629810485"/>
        </patternFill>
      </fill>
    </dxf>
    <dxf>
      <fill>
        <patternFill>
          <bgColor rgb="FF00FF00" tint="0.59999389629810485"/>
        </patternFill>
      </fill>
    </dxf>
    <dxf>
      <fill>
        <patternFill>
          <bgColor rgb="FFFFFF00" tint="0.59999389629810485"/>
        </patternFill>
      </fill>
    </dxf>
    <dxf>
      <fill>
        <patternFill>
          <bgColor rgb="FFFF0000" tint="0.59999389629810485"/>
        </patternFill>
      </fill>
    </dxf>
    <dxf>
      <fill>
        <patternFill>
          <bgColor rgb="FF00FF00" tint="0.59999389629810485"/>
        </patternFill>
      </fill>
    </dxf>
    <dxf>
      <fill>
        <patternFill>
          <bgColor rgb="FFA5FF50" tint="0.59999389629810485"/>
        </patternFill>
      </fill>
    </dxf>
    <dxf>
      <fill>
        <patternFill>
          <bgColor rgb="FFFFFF00" tint="0.59999389629810485"/>
        </patternFill>
      </fill>
    </dxf>
    <dxf>
      <fill>
        <patternFill>
          <bgColor rgb="FFFFFF00" tint="0.59999389629810485"/>
        </patternFill>
      </fill>
    </dxf>
    <dxf>
      <fill>
        <patternFill>
          <bgColor rgb="FFFFA500" tint="0.59999389629810485"/>
        </patternFill>
      </fill>
    </dxf>
    <dxf>
      <fill>
        <patternFill>
          <bgColor rgb="FFFF0000" tint="0.59999389629810485"/>
        </patternFill>
      </fill>
    </dxf>
    <dxf>
      <fill>
        <patternFill>
          <bgColor rgb="FF00FF00" tint="0.59999389629810485"/>
        </patternFill>
      </fill>
    </dxf>
    <dxf>
      <fill>
        <patternFill>
          <bgColor rgb="FFFFFF00" tint="0.59999389629810485"/>
        </patternFill>
      </fill>
    </dxf>
    <dxf>
      <fill>
        <patternFill>
          <bgColor rgb="FFFF0000" tint="0.59999389629810485"/>
        </patternFill>
      </fill>
    </dxf>
    <dxf>
      <fill>
        <patternFill>
          <bgColor rgb="FF00FF00" tint="0.59999389629810485"/>
        </patternFill>
      </fill>
    </dxf>
    <dxf>
      <fill>
        <patternFill>
          <bgColor rgb="FFA5FF50" tint="0.59999389629810485"/>
        </patternFill>
      </fill>
    </dxf>
    <dxf>
      <fill>
        <patternFill>
          <bgColor rgb="FFFFFF00" tint="0.59999389629810485"/>
        </patternFill>
      </fill>
    </dxf>
    <dxf>
      <fill>
        <patternFill>
          <bgColor rgb="FFFFFF00" tint="0.59999389629810485"/>
        </patternFill>
      </fill>
    </dxf>
    <dxf>
      <fill>
        <patternFill>
          <bgColor rgb="FFFFA500" tint="0.59999389629810485"/>
        </patternFill>
      </fill>
    </dxf>
    <dxf>
      <fill>
        <patternFill>
          <bgColor rgb="FFFF0000" tint="0.59999389629810485"/>
        </patternFill>
      </fill>
    </dxf>
    <dxf>
      <fill>
        <patternFill>
          <bgColor rgb="FF00FF00" tint="0.59999389629810485"/>
        </patternFill>
      </fill>
    </dxf>
    <dxf>
      <fill>
        <patternFill>
          <bgColor rgb="FFFFFF00" tint="0.59999389629810485"/>
        </patternFill>
      </fill>
    </dxf>
    <dxf>
      <fill>
        <patternFill>
          <bgColor rgb="FFFF0000" tint="0.59999389629810485"/>
        </patternFill>
      </fill>
    </dxf>
    <dxf>
      <fill>
        <patternFill>
          <bgColor rgb="FF00FF00" tint="0.59999389629810485"/>
        </patternFill>
      </fill>
    </dxf>
    <dxf>
      <fill>
        <patternFill>
          <bgColor rgb="FFA5FF50" tint="0.59999389629810485"/>
        </patternFill>
      </fill>
    </dxf>
    <dxf>
      <fill>
        <patternFill>
          <bgColor rgb="FFFFFF00" tint="0.59999389629810485"/>
        </patternFill>
      </fill>
    </dxf>
    <dxf>
      <fill>
        <patternFill>
          <bgColor rgb="FFFFFF00" tint="0.59999389629810485"/>
        </patternFill>
      </fill>
    </dxf>
    <dxf>
      <fill>
        <patternFill>
          <bgColor rgb="FFFFA500" tint="0.59999389629810485"/>
        </patternFill>
      </fill>
    </dxf>
    <dxf>
      <fill>
        <patternFill>
          <bgColor rgb="FFFF0000" tint="0.59999389629810485"/>
        </patternFill>
      </fill>
    </dxf>
    <dxf>
      <fill>
        <patternFill>
          <bgColor rgb="FF00FF00" tint="0.59999389629810485"/>
        </patternFill>
      </fill>
    </dxf>
    <dxf>
      <fill>
        <patternFill>
          <bgColor rgb="FFFFFF00" tint="0.59999389629810485"/>
        </patternFill>
      </fill>
    </dxf>
    <dxf>
      <fill>
        <patternFill>
          <bgColor rgb="FFFF0000" tint="0.59999389629810485"/>
        </patternFill>
      </fill>
    </dxf>
    <dxf>
      <fill>
        <patternFill>
          <bgColor rgb="FF00FF00" tint="0.59999389629810485"/>
        </patternFill>
      </fill>
    </dxf>
    <dxf>
      <fill>
        <patternFill>
          <bgColor rgb="FFA5FF50" tint="0.59999389629810485"/>
        </patternFill>
      </fill>
    </dxf>
    <dxf>
      <fill>
        <patternFill>
          <bgColor rgb="FFFFFF00" tint="0.59999389629810485"/>
        </patternFill>
      </fill>
    </dxf>
    <dxf>
      <fill>
        <patternFill>
          <bgColor rgb="FFFFFF00" tint="0.59999389629810485"/>
        </patternFill>
      </fill>
    </dxf>
    <dxf>
      <fill>
        <patternFill>
          <bgColor rgb="FFFFA500" tint="0.59999389629810485"/>
        </patternFill>
      </fill>
    </dxf>
    <dxf>
      <fill>
        <patternFill>
          <bgColor rgb="FFFF0000" tint="0.59999389629810485"/>
        </patternFill>
      </fill>
    </dxf>
    <dxf>
      <fill>
        <patternFill>
          <bgColor rgb="FF00FF00" tint="0.59999389629810485"/>
        </patternFill>
      </fill>
    </dxf>
    <dxf>
      <fill>
        <patternFill>
          <bgColor rgb="FFFFFF00" tint="0.59999389629810485"/>
        </patternFill>
      </fill>
    </dxf>
    <dxf>
      <fill>
        <patternFill>
          <bgColor rgb="FFFF0000" tint="0.59999389629810485"/>
        </patternFill>
      </fill>
    </dxf>
    <dxf>
      <fill>
        <patternFill>
          <bgColor rgb="FF00FF00" tint="0.59999389629810485"/>
        </patternFill>
      </fill>
    </dxf>
    <dxf>
      <fill>
        <patternFill>
          <bgColor rgb="FFA5FF50" tint="0.59999389629810485"/>
        </patternFill>
      </fill>
    </dxf>
    <dxf>
      <fill>
        <patternFill>
          <bgColor rgb="FFFFFF00" tint="0.59999389629810485"/>
        </patternFill>
      </fill>
    </dxf>
    <dxf>
      <fill>
        <patternFill>
          <bgColor rgb="FFFFFF00" tint="0.59999389629810485"/>
        </patternFill>
      </fill>
    </dxf>
    <dxf>
      <fill>
        <patternFill>
          <bgColor rgb="FFFFA500" tint="0.59999389629810485"/>
        </patternFill>
      </fill>
    </dxf>
    <dxf>
      <fill>
        <patternFill>
          <bgColor rgb="FFFF0000" tint="0.59999389629810485"/>
        </patternFill>
      </fill>
    </dxf>
    <dxf>
      <fill>
        <patternFill>
          <bgColor rgb="FF00FF00" tint="0.59999389629810485"/>
        </patternFill>
      </fill>
    </dxf>
    <dxf>
      <fill>
        <patternFill>
          <bgColor rgb="FFFFFF00" tint="0.59999389629810485"/>
        </patternFill>
      </fill>
    </dxf>
    <dxf>
      <fill>
        <patternFill>
          <bgColor rgb="FFFF0000" tint="0.59999389629810485"/>
        </patternFill>
      </fill>
    </dxf>
    <dxf>
      <fill>
        <patternFill>
          <bgColor rgb="FF00FF00" tint="0.59999389629810485"/>
        </patternFill>
      </fill>
    </dxf>
    <dxf>
      <fill>
        <patternFill>
          <bgColor rgb="FFA5FF50" tint="0.59999389629810485"/>
        </patternFill>
      </fill>
    </dxf>
    <dxf>
      <fill>
        <patternFill>
          <bgColor rgb="FFFFFF00" tint="0.59999389629810485"/>
        </patternFill>
      </fill>
    </dxf>
    <dxf>
      <fill>
        <patternFill>
          <bgColor rgb="FFFFFF00" tint="0.59999389629810485"/>
        </patternFill>
      </fill>
    </dxf>
    <dxf>
      <fill>
        <patternFill>
          <bgColor rgb="FFFFA500" tint="0.59999389629810485"/>
        </patternFill>
      </fill>
    </dxf>
    <dxf>
      <fill>
        <patternFill>
          <bgColor rgb="FFFF0000" tint="0.59999389629810485"/>
        </patternFill>
      </fill>
    </dxf>
    <dxf>
      <fill>
        <patternFill>
          <bgColor rgb="FF00FF00" tint="0.59999389629810485"/>
        </patternFill>
      </fill>
    </dxf>
    <dxf>
      <fill>
        <patternFill>
          <bgColor rgb="FFFFFF00" tint="0.59999389629810485"/>
        </patternFill>
      </fill>
    </dxf>
    <dxf>
      <fill>
        <patternFill>
          <bgColor rgb="FFFF0000" tint="0.59999389629810485"/>
        </patternFill>
      </fill>
    </dxf>
    <dxf>
      <fill>
        <patternFill>
          <bgColor rgb="FF00FF00" tint="0.59999389629810485"/>
        </patternFill>
      </fill>
    </dxf>
    <dxf>
      <fill>
        <patternFill>
          <bgColor rgb="FFA5FF50" tint="0.59999389629810485"/>
        </patternFill>
      </fill>
    </dxf>
    <dxf>
      <fill>
        <patternFill>
          <bgColor rgb="FFFFFF00" tint="0.59999389629810485"/>
        </patternFill>
      </fill>
    </dxf>
    <dxf>
      <fill>
        <patternFill>
          <bgColor rgb="FFFFFF00" tint="0.59999389629810485"/>
        </patternFill>
      </fill>
    </dxf>
    <dxf>
      <fill>
        <patternFill>
          <bgColor rgb="FFFFA500" tint="0.59999389629810485"/>
        </patternFill>
      </fill>
    </dxf>
    <dxf>
      <fill>
        <patternFill>
          <bgColor rgb="FFFF0000" tint="0.59999389629810485"/>
        </patternFill>
      </fill>
    </dxf>
    <dxf>
      <fill>
        <patternFill>
          <bgColor rgb="FF00FF00" tint="0.59999389629810485"/>
        </patternFill>
      </fill>
    </dxf>
    <dxf>
      <fill>
        <patternFill>
          <bgColor rgb="FFFFFF00" tint="0.59999389629810485"/>
        </patternFill>
      </fill>
    </dxf>
    <dxf>
      <fill>
        <patternFill>
          <bgColor rgb="FFFF0000" tint="0.59999389629810485"/>
        </patternFill>
      </fill>
    </dxf>
    <dxf>
      <fill>
        <patternFill>
          <bgColor rgb="FF00FF00" tint="0.59999389629810485"/>
        </patternFill>
      </fill>
    </dxf>
    <dxf>
      <fill>
        <patternFill>
          <bgColor rgb="FFA5FF50" tint="0.59999389629810485"/>
        </patternFill>
      </fill>
    </dxf>
    <dxf>
      <fill>
        <patternFill>
          <bgColor rgb="FFFFFF00" tint="0.59999389629810485"/>
        </patternFill>
      </fill>
    </dxf>
    <dxf>
      <fill>
        <patternFill>
          <bgColor rgb="FFFFFF00" tint="0.59999389629810485"/>
        </patternFill>
      </fill>
    </dxf>
    <dxf>
      <fill>
        <patternFill>
          <bgColor rgb="FFFFA500" tint="0.59999389629810485"/>
        </patternFill>
      </fill>
    </dxf>
    <dxf>
      <fill>
        <patternFill>
          <bgColor rgb="FFFF0000" tint="0.59999389629810485"/>
        </patternFill>
      </fill>
    </dxf>
    <dxf>
      <fill>
        <patternFill>
          <bgColor rgb="FF00FF00" tint="0.59999389629810485"/>
        </patternFill>
      </fill>
    </dxf>
    <dxf>
      <fill>
        <patternFill>
          <bgColor rgb="FFFFFF00" tint="0.59999389629810485"/>
        </patternFill>
      </fill>
    </dxf>
    <dxf>
      <fill>
        <patternFill>
          <bgColor rgb="FFFF0000" tint="0.59999389629810485"/>
        </patternFill>
      </fill>
    </dxf>
    <dxf>
      <fill>
        <patternFill>
          <bgColor rgb="FF00FF00" tint="0.59999389629810485"/>
        </patternFill>
      </fill>
    </dxf>
    <dxf>
      <fill>
        <patternFill>
          <bgColor rgb="FFA5FF50" tint="0.59999389629810485"/>
        </patternFill>
      </fill>
    </dxf>
    <dxf>
      <fill>
        <patternFill>
          <bgColor rgb="FFFFFF00" tint="0.59999389629810485"/>
        </patternFill>
      </fill>
    </dxf>
    <dxf>
      <fill>
        <patternFill>
          <bgColor rgb="FFFFFF00" tint="0.59999389629810485"/>
        </patternFill>
      </fill>
    </dxf>
    <dxf>
      <fill>
        <patternFill>
          <bgColor rgb="FFFFA500" tint="0.59999389629810485"/>
        </patternFill>
      </fill>
    </dxf>
    <dxf>
      <fill>
        <patternFill>
          <bgColor rgb="FFFF0000" tint="0.59999389629810485"/>
        </patternFill>
      </fill>
    </dxf>
    <dxf>
      <fill>
        <patternFill>
          <bgColor rgb="FF00FF00" tint="0.59999389629810485"/>
        </patternFill>
      </fill>
    </dxf>
    <dxf>
      <fill>
        <patternFill>
          <bgColor rgb="FFFFFF00" tint="0.59999389629810485"/>
        </patternFill>
      </fill>
    </dxf>
    <dxf>
      <fill>
        <patternFill>
          <bgColor rgb="FFFF0000" tint="0.59999389629810485"/>
        </patternFill>
      </fill>
    </dxf>
    <dxf>
      <fill>
        <patternFill>
          <bgColor rgb="FF00FF00" tint="0.59999389629810485"/>
        </patternFill>
      </fill>
    </dxf>
    <dxf>
      <fill>
        <patternFill>
          <bgColor rgb="FFA5FF50" tint="0.59999389629810485"/>
        </patternFill>
      </fill>
    </dxf>
    <dxf>
      <fill>
        <patternFill>
          <bgColor rgb="FFFFFF00" tint="0.59999389629810485"/>
        </patternFill>
      </fill>
    </dxf>
    <dxf>
      <fill>
        <patternFill>
          <bgColor rgb="FFFFFF00" tint="0.59999389629810485"/>
        </patternFill>
      </fill>
    </dxf>
    <dxf>
      <fill>
        <patternFill>
          <bgColor rgb="FFFFA500" tint="0.59999389629810485"/>
        </patternFill>
      </fill>
    </dxf>
    <dxf>
      <fill>
        <patternFill>
          <bgColor rgb="FFFF0000" tint="0.59999389629810485"/>
        </patternFill>
      </fill>
    </dxf>
    <dxf>
      <fill>
        <patternFill>
          <bgColor rgb="FF00FF00" tint="0.59999389629810485"/>
        </patternFill>
      </fill>
    </dxf>
    <dxf>
      <fill>
        <patternFill>
          <bgColor rgb="FFFFFF00" tint="0.59999389629810485"/>
        </patternFill>
      </fill>
    </dxf>
    <dxf>
      <fill>
        <patternFill>
          <bgColor rgb="FFFF0000" tint="0.59999389629810485"/>
        </patternFill>
      </fill>
    </dxf>
    <dxf>
      <fill>
        <patternFill>
          <bgColor rgb="FF00FF00" tint="0.59999389629810485"/>
        </patternFill>
      </fill>
    </dxf>
    <dxf>
      <fill>
        <patternFill>
          <bgColor rgb="FFA5FF50" tint="0.59999389629810485"/>
        </patternFill>
      </fill>
    </dxf>
    <dxf>
      <fill>
        <patternFill>
          <bgColor rgb="FFFFFF00" tint="0.59999389629810485"/>
        </patternFill>
      </fill>
    </dxf>
    <dxf>
      <fill>
        <patternFill>
          <bgColor rgb="FFFFFF00" tint="0.59999389629810485"/>
        </patternFill>
      </fill>
    </dxf>
    <dxf>
      <fill>
        <patternFill>
          <bgColor rgb="FFFFA500" tint="0.59999389629810485"/>
        </patternFill>
      </fill>
    </dxf>
    <dxf>
      <fill>
        <patternFill>
          <bgColor rgb="FFFF0000" tint="0.59999389629810485"/>
        </patternFill>
      </fill>
    </dxf>
    <dxf>
      <fill>
        <patternFill>
          <bgColor rgb="FF00FF00" tint="0.59999389629810485"/>
        </patternFill>
      </fill>
    </dxf>
    <dxf>
      <fill>
        <patternFill>
          <bgColor rgb="FFFFFF00" tint="0.59999389629810485"/>
        </patternFill>
      </fill>
    </dxf>
    <dxf>
      <fill>
        <patternFill>
          <bgColor rgb="FFFF0000" tint="0.59999389629810485"/>
        </patternFill>
      </fill>
    </dxf>
    <dxf>
      <fill>
        <patternFill>
          <bgColor rgb="FF00FF00" tint="0.59999389629810485"/>
        </patternFill>
      </fill>
    </dxf>
    <dxf>
      <fill>
        <patternFill>
          <bgColor rgb="FFA5FF50" tint="0.59999389629810485"/>
        </patternFill>
      </fill>
    </dxf>
    <dxf>
      <fill>
        <patternFill>
          <bgColor rgb="FFFFFF00" tint="0.59999389629810485"/>
        </patternFill>
      </fill>
    </dxf>
    <dxf>
      <fill>
        <patternFill>
          <bgColor rgb="FFFFFF00" tint="0.59999389629810485"/>
        </patternFill>
      </fill>
    </dxf>
    <dxf>
      <fill>
        <patternFill>
          <bgColor rgb="FFFFA500" tint="0.59999389629810485"/>
        </patternFill>
      </fill>
    </dxf>
    <dxf>
      <fill>
        <patternFill>
          <bgColor rgb="FFFF0000" tint="0.59999389629810485"/>
        </patternFill>
      </fill>
    </dxf>
    <dxf>
      <fill>
        <patternFill>
          <bgColor rgb="FF00FF00" tint="0.59999389629810485"/>
        </patternFill>
      </fill>
    </dxf>
    <dxf>
      <fill>
        <patternFill>
          <bgColor rgb="FFFFFF00" tint="0.59999389629810485"/>
        </patternFill>
      </fill>
    </dxf>
    <dxf>
      <fill>
        <patternFill>
          <bgColor rgb="FFFF0000" tint="0.59999389629810485"/>
        </patternFill>
      </fill>
    </dxf>
    <dxf>
      <fill>
        <patternFill>
          <bgColor rgb="FF00FF00" tint="0.59999389629810485"/>
        </patternFill>
      </fill>
    </dxf>
    <dxf>
      <fill>
        <patternFill>
          <bgColor rgb="FFA5FF50" tint="0.59999389629810485"/>
        </patternFill>
      </fill>
    </dxf>
    <dxf>
      <fill>
        <patternFill>
          <bgColor rgb="FFFFFF00" tint="0.59999389629810485"/>
        </patternFill>
      </fill>
    </dxf>
    <dxf>
      <fill>
        <patternFill>
          <bgColor rgb="FFFFFF00" tint="0.59999389629810485"/>
        </patternFill>
      </fill>
    </dxf>
    <dxf>
      <fill>
        <patternFill>
          <bgColor rgb="FFFFA500" tint="0.59999389629810485"/>
        </patternFill>
      </fill>
    </dxf>
    <dxf>
      <fill>
        <patternFill>
          <bgColor rgb="FFFF0000" tint="0.59999389629810485"/>
        </patternFill>
      </fill>
    </dxf>
    <dxf>
      <fill>
        <patternFill>
          <bgColor rgb="FF00FF00" tint="0.59999389629810485"/>
        </patternFill>
      </fill>
    </dxf>
    <dxf>
      <fill>
        <patternFill>
          <bgColor rgb="FFFFFF00" tint="0.59999389629810485"/>
        </patternFill>
      </fill>
    </dxf>
    <dxf>
      <fill>
        <patternFill>
          <bgColor rgb="FFFF0000" tint="0.59999389629810485"/>
        </patternFill>
      </fill>
    </dxf>
    <dxf>
      <fill>
        <patternFill>
          <bgColor rgb="FF00FF00" tint="0.59999389629810485"/>
        </patternFill>
      </fill>
    </dxf>
    <dxf>
      <fill>
        <patternFill>
          <bgColor rgb="FFA5FF50" tint="0.59999389629810485"/>
        </patternFill>
      </fill>
    </dxf>
    <dxf>
      <fill>
        <patternFill>
          <bgColor rgb="FFFFFF00" tint="0.59999389629810485"/>
        </patternFill>
      </fill>
    </dxf>
    <dxf>
      <fill>
        <patternFill>
          <bgColor rgb="FFFFFF00" tint="0.59999389629810485"/>
        </patternFill>
      </fill>
    </dxf>
    <dxf>
      <fill>
        <patternFill>
          <bgColor rgb="FFFFA500" tint="0.59999389629810485"/>
        </patternFill>
      </fill>
    </dxf>
    <dxf>
      <fill>
        <patternFill>
          <bgColor rgb="FFFF0000" tint="0.59999389629810485"/>
        </patternFill>
      </fill>
    </dxf>
    <dxf>
      <fill>
        <patternFill>
          <bgColor rgb="FF00FF00" tint="0.59999389629810485"/>
        </patternFill>
      </fill>
    </dxf>
    <dxf>
      <fill>
        <patternFill>
          <bgColor rgb="FFFFFF00" tint="0.59999389629810485"/>
        </patternFill>
      </fill>
    </dxf>
    <dxf>
      <fill>
        <patternFill>
          <bgColor rgb="FFFF0000" tint="0.59999389629810485"/>
        </patternFill>
      </fill>
    </dxf>
    <dxf>
      <fill>
        <patternFill>
          <bgColor rgb="FF00FF00" tint="0.59999389629810485"/>
        </patternFill>
      </fill>
    </dxf>
    <dxf>
      <fill>
        <patternFill>
          <bgColor rgb="FFA5FF50" tint="0.59999389629810485"/>
        </patternFill>
      </fill>
    </dxf>
    <dxf>
      <fill>
        <patternFill>
          <bgColor rgb="FFFFFF00" tint="0.59999389629810485"/>
        </patternFill>
      </fill>
    </dxf>
    <dxf>
      <fill>
        <patternFill>
          <bgColor rgb="FFFFFF00" tint="0.59999389629810485"/>
        </patternFill>
      </fill>
    </dxf>
    <dxf>
      <fill>
        <patternFill>
          <bgColor rgb="FFFFA500" tint="0.59999389629810485"/>
        </patternFill>
      </fill>
    </dxf>
    <dxf>
      <fill>
        <patternFill>
          <bgColor rgb="FFFF0000" tint="0.59999389629810485"/>
        </patternFill>
      </fill>
    </dxf>
    <dxf>
      <fill>
        <patternFill>
          <bgColor rgb="FF00FF00" tint="0.59999389629810485"/>
        </patternFill>
      </fill>
    </dxf>
    <dxf>
      <fill>
        <patternFill>
          <bgColor rgb="FFFFFF00" tint="0.59999389629810485"/>
        </patternFill>
      </fill>
    </dxf>
    <dxf>
      <fill>
        <patternFill>
          <bgColor rgb="FFFF0000" tint="0.59999389629810485"/>
        </patternFill>
      </fill>
    </dxf>
    <dxf>
      <fill>
        <patternFill>
          <bgColor rgb="FF00FF00" tint="0.59999389629810485"/>
        </patternFill>
      </fill>
    </dxf>
    <dxf>
      <fill>
        <patternFill>
          <bgColor rgb="FFA5FF50" tint="0.59999389629810485"/>
        </patternFill>
      </fill>
    </dxf>
    <dxf>
      <fill>
        <patternFill>
          <bgColor rgb="FFFFFF00" tint="0.59999389629810485"/>
        </patternFill>
      </fill>
    </dxf>
    <dxf>
      <fill>
        <patternFill>
          <bgColor rgb="FFFFFF00" tint="0.59999389629810485"/>
        </patternFill>
      </fill>
    </dxf>
    <dxf>
      <fill>
        <patternFill>
          <bgColor rgb="FFFFA500" tint="0.59999389629810485"/>
        </patternFill>
      </fill>
    </dxf>
    <dxf>
      <fill>
        <patternFill>
          <bgColor rgb="FFFF0000" tint="0.59999389629810485"/>
        </patternFill>
      </fill>
    </dxf>
    <dxf>
      <fill>
        <patternFill>
          <bgColor rgb="FF00FF00" tint="0.59999389629810485"/>
        </patternFill>
      </fill>
    </dxf>
    <dxf>
      <fill>
        <patternFill>
          <bgColor rgb="FFFFFF00" tint="0.59999389629810485"/>
        </patternFill>
      </fill>
    </dxf>
    <dxf>
      <fill>
        <patternFill>
          <bgColor rgb="FFFF0000" tint="0.59999389629810485"/>
        </patternFill>
      </fill>
    </dxf>
    <dxf>
      <fill>
        <patternFill>
          <bgColor rgb="FF00FF00" tint="0.59999389629810485"/>
        </patternFill>
      </fill>
    </dxf>
    <dxf>
      <fill>
        <patternFill>
          <bgColor rgb="FFA5FF50" tint="0.59999389629810485"/>
        </patternFill>
      </fill>
    </dxf>
    <dxf>
      <fill>
        <patternFill>
          <bgColor rgb="FFFFFF00" tint="0.59999389629810485"/>
        </patternFill>
      </fill>
    </dxf>
    <dxf>
      <fill>
        <patternFill>
          <bgColor rgb="FFFFFF00" tint="0.59999389629810485"/>
        </patternFill>
      </fill>
    </dxf>
    <dxf>
      <fill>
        <patternFill>
          <bgColor rgb="FFFFA500" tint="0.59999389629810485"/>
        </patternFill>
      </fill>
    </dxf>
    <dxf>
      <fill>
        <patternFill>
          <bgColor rgb="FFFF0000" tint="0.59999389629810485"/>
        </patternFill>
      </fill>
    </dxf>
    <dxf>
      <fill>
        <patternFill>
          <bgColor rgb="FF00FF00" tint="0.59999389629810485"/>
        </patternFill>
      </fill>
    </dxf>
    <dxf>
      <fill>
        <patternFill>
          <bgColor rgb="FF00FF00" tint="0.59999389629810485"/>
        </patternFill>
      </fill>
    </dxf>
    <dxf>
      <fill>
        <patternFill>
          <bgColor rgb="FFA5FF50" tint="0.59999389629810485"/>
        </patternFill>
      </fill>
    </dxf>
    <dxf>
      <fill>
        <patternFill>
          <bgColor rgb="FFFFFF00" tint="0.59999389629810485"/>
        </patternFill>
      </fill>
    </dxf>
    <dxf>
      <fill>
        <patternFill>
          <bgColor rgb="FFFFA500" tint="0.59999389629810485"/>
        </patternFill>
      </fill>
    </dxf>
    <dxf>
      <fill>
        <patternFill>
          <bgColor rgb="FFFF0000" tint="0.59999389629810485"/>
        </patternFill>
      </fill>
    </dxf>
    <dxf>
      <fill>
        <patternFill>
          <bgColor rgb="FF00FF00" tint="0.59999389629810485"/>
        </patternFill>
      </fill>
    </dxf>
    <dxf>
      <fill>
        <patternFill>
          <bgColor rgb="FFFFFF00" tint="0.59999389629810485"/>
        </patternFill>
      </fill>
    </dxf>
    <dxf>
      <fill>
        <patternFill>
          <bgColor rgb="FFFF0000" tint="0.59999389629810485"/>
        </patternFill>
      </fill>
    </dxf>
    <dxf>
      <fill>
        <patternFill>
          <bgColor rgb="FF00FF00" tint="0.59999389629810485"/>
        </patternFill>
      </fill>
    </dxf>
    <dxf>
      <fill>
        <patternFill>
          <bgColor rgb="FFA5FF50" tint="0.59999389629810485"/>
        </patternFill>
      </fill>
    </dxf>
    <dxf>
      <fill>
        <patternFill>
          <bgColor rgb="FFFFFF00" tint="0.59999389629810485"/>
        </patternFill>
      </fill>
    </dxf>
    <dxf>
      <fill>
        <patternFill>
          <bgColor rgb="FFFFFF00" tint="0.59999389629810485"/>
        </patternFill>
      </fill>
    </dxf>
    <dxf>
      <fill>
        <patternFill>
          <bgColor rgb="FFFFA500" tint="0.59999389629810485"/>
        </patternFill>
      </fill>
    </dxf>
    <dxf>
      <fill>
        <patternFill>
          <bgColor rgb="FFFF0000" tint="0.59999389629810485"/>
        </patternFill>
      </fill>
    </dxf>
    <dxf>
      <fill>
        <patternFill>
          <bgColor rgb="FF00FF00" tint="0.59999389629810485"/>
        </patternFill>
      </fill>
    </dxf>
    <dxf>
      <fill>
        <patternFill>
          <bgColor rgb="FFFFFF00" tint="0.59999389629810485"/>
        </patternFill>
      </fill>
    </dxf>
    <dxf>
      <fill>
        <patternFill>
          <bgColor rgb="FFFF0000" tint="0.59999389629810485"/>
        </patternFill>
      </fill>
    </dxf>
    <dxf>
      <fill>
        <patternFill>
          <bgColor rgb="FF00FF00" tint="0.59999389629810485"/>
        </patternFill>
      </fill>
    </dxf>
    <dxf>
      <fill>
        <patternFill>
          <bgColor rgb="FFA5FF50" tint="0.59999389629810485"/>
        </patternFill>
      </fill>
    </dxf>
    <dxf>
      <fill>
        <patternFill>
          <bgColor rgb="FFFFFF00" tint="0.59999389629810485"/>
        </patternFill>
      </fill>
    </dxf>
    <dxf>
      <fill>
        <patternFill>
          <bgColor rgb="FFFFFF00" tint="0.59999389629810485"/>
        </patternFill>
      </fill>
    </dxf>
    <dxf>
      <fill>
        <patternFill>
          <bgColor rgb="FFFFA500" tint="0.59999389629810485"/>
        </patternFill>
      </fill>
    </dxf>
    <dxf>
      <fill>
        <patternFill>
          <bgColor rgb="FFFF0000" tint="0.59999389629810485"/>
        </patternFill>
      </fill>
    </dxf>
    <dxf>
      <fill>
        <patternFill>
          <bgColor rgb="FF00FF00" tint="0.59999389629810485"/>
        </patternFill>
      </fill>
    </dxf>
    <dxf>
      <fill>
        <patternFill>
          <bgColor rgb="FFFFFF00" tint="0.59999389629810485"/>
        </patternFill>
      </fill>
    </dxf>
    <dxf>
      <fill>
        <patternFill>
          <bgColor rgb="FFFF0000" tint="0.59999389629810485"/>
        </patternFill>
      </fill>
    </dxf>
    <dxf>
      <fill>
        <patternFill>
          <bgColor rgb="FF00FF00" tint="0.59999389629810485"/>
        </patternFill>
      </fill>
    </dxf>
    <dxf>
      <fill>
        <patternFill>
          <bgColor rgb="FFA5FF50" tint="0.59999389629810485"/>
        </patternFill>
      </fill>
    </dxf>
    <dxf>
      <fill>
        <patternFill>
          <bgColor rgb="FFFFFF00" tint="0.59999389629810485"/>
        </patternFill>
      </fill>
    </dxf>
    <dxf>
      <fill>
        <patternFill>
          <bgColor rgb="FFFFFF00" tint="0.59999389629810485"/>
        </patternFill>
      </fill>
    </dxf>
    <dxf>
      <fill>
        <patternFill>
          <bgColor rgb="FFFFA500" tint="0.59999389629810485"/>
        </patternFill>
      </fill>
    </dxf>
    <dxf>
      <fill>
        <patternFill>
          <bgColor rgb="FFFF0000" tint="0.59999389629810485"/>
        </patternFill>
      </fill>
    </dxf>
    <dxf>
      <fill>
        <patternFill>
          <bgColor rgb="FF00FF00" tint="0.59999389629810485"/>
        </patternFill>
      </fill>
    </dxf>
    <dxf>
      <fill>
        <patternFill>
          <bgColor rgb="FFFFFF00" tint="0.59999389629810485"/>
        </patternFill>
      </fill>
    </dxf>
    <dxf>
      <fill>
        <patternFill>
          <bgColor rgb="FFFF0000" tint="0.59999389629810485"/>
        </patternFill>
      </fill>
    </dxf>
    <dxf>
      <fill>
        <patternFill>
          <bgColor rgb="FF00FF00" tint="0.59999389629810485"/>
        </patternFill>
      </fill>
    </dxf>
    <dxf>
      <fill>
        <patternFill>
          <bgColor rgb="FFA5FF50" tint="0.59999389629810485"/>
        </patternFill>
      </fill>
    </dxf>
    <dxf>
      <fill>
        <patternFill>
          <bgColor rgb="FFFFFF00" tint="0.59999389629810485"/>
        </patternFill>
      </fill>
    </dxf>
    <dxf>
      <fill>
        <patternFill>
          <bgColor rgb="FFFFFF00" tint="0.59999389629810485"/>
        </patternFill>
      </fill>
    </dxf>
    <dxf>
      <fill>
        <patternFill>
          <bgColor rgb="FFFFA500" tint="0.59999389629810485"/>
        </patternFill>
      </fill>
    </dxf>
    <dxf>
      <fill>
        <patternFill>
          <bgColor rgb="FFFF0000" tint="0.59999389629810485"/>
        </patternFill>
      </fill>
    </dxf>
    <dxf>
      <fill>
        <patternFill>
          <bgColor rgb="FF00FF00" tint="0.59999389629810485"/>
        </patternFill>
      </fill>
    </dxf>
    <dxf>
      <fill>
        <patternFill>
          <bgColor rgb="FFFFFF00" tint="0.59999389629810485"/>
        </patternFill>
      </fill>
    </dxf>
    <dxf>
      <fill>
        <patternFill>
          <bgColor rgb="FFFF0000" tint="0.59999389629810485"/>
        </patternFill>
      </fill>
    </dxf>
    <dxf>
      <fill>
        <patternFill>
          <bgColor rgb="FF00FF00" tint="0.59999389629810485"/>
        </patternFill>
      </fill>
    </dxf>
    <dxf>
      <fill>
        <patternFill>
          <bgColor rgb="FFA5FF50" tint="0.59999389629810485"/>
        </patternFill>
      </fill>
    </dxf>
    <dxf>
      <fill>
        <patternFill>
          <bgColor rgb="FFFFFF00" tint="0.59999389629810485"/>
        </patternFill>
      </fill>
    </dxf>
    <dxf>
      <fill>
        <patternFill>
          <bgColor rgb="FFFFFF00" tint="0.59999389629810485"/>
        </patternFill>
      </fill>
    </dxf>
    <dxf>
      <fill>
        <patternFill>
          <bgColor rgb="FFFFA500" tint="0.59999389629810485"/>
        </patternFill>
      </fill>
    </dxf>
    <dxf>
      <fill>
        <patternFill>
          <bgColor rgb="FFFF0000" tint="0.59999389629810485"/>
        </patternFill>
      </fill>
    </dxf>
    <dxf>
      <fill>
        <patternFill>
          <bgColor rgb="FF00FF00" tint="0.59999389629810485"/>
        </patternFill>
      </fill>
    </dxf>
    <dxf>
      <fill>
        <patternFill>
          <bgColor rgb="FFFFFF00" tint="0.59999389629810485"/>
        </patternFill>
      </fill>
    </dxf>
    <dxf>
      <fill>
        <patternFill>
          <bgColor rgb="FFFF0000" tint="0.59999389629810485"/>
        </patternFill>
      </fill>
    </dxf>
    <dxf>
      <fill>
        <patternFill>
          <bgColor rgb="FF00FF00" tint="0.59999389629810485"/>
        </patternFill>
      </fill>
    </dxf>
    <dxf>
      <fill>
        <patternFill>
          <bgColor rgb="FFA5FF50" tint="0.59999389629810485"/>
        </patternFill>
      </fill>
    </dxf>
    <dxf>
      <fill>
        <patternFill>
          <bgColor rgb="FFFFFF00" tint="0.59999389629810485"/>
        </patternFill>
      </fill>
    </dxf>
    <dxf>
      <fill>
        <patternFill>
          <bgColor rgb="FFFFFF00" tint="0.59999389629810485"/>
        </patternFill>
      </fill>
    </dxf>
    <dxf>
      <fill>
        <patternFill>
          <bgColor rgb="FFFFA500" tint="0.59999389629810485"/>
        </patternFill>
      </fill>
    </dxf>
    <dxf>
      <fill>
        <patternFill>
          <bgColor rgb="FFFF0000" tint="0.59999389629810485"/>
        </patternFill>
      </fill>
    </dxf>
    <dxf>
      <fill>
        <patternFill>
          <bgColor rgb="FF00FF00" tint="0.59999389629810485"/>
        </patternFill>
      </fill>
    </dxf>
    <dxf>
      <fill>
        <patternFill>
          <bgColor rgb="FFFFFF00" tint="0.59999389629810485"/>
        </patternFill>
      </fill>
    </dxf>
    <dxf>
      <fill>
        <patternFill>
          <bgColor rgb="FFFF0000" tint="0.59999389629810485"/>
        </patternFill>
      </fill>
    </dxf>
    <dxf>
      <fill>
        <patternFill>
          <bgColor rgb="FF00FF00" tint="0.59999389629810485"/>
        </patternFill>
      </fill>
    </dxf>
    <dxf>
      <fill>
        <patternFill>
          <bgColor rgb="FFA5FF50" tint="0.59999389629810485"/>
        </patternFill>
      </fill>
    </dxf>
    <dxf>
      <fill>
        <patternFill>
          <bgColor rgb="FFFFFF00" tint="0.59999389629810485"/>
        </patternFill>
      </fill>
    </dxf>
    <dxf>
      <fill>
        <patternFill>
          <bgColor rgb="FFFFFF00" tint="0.59999389629810485"/>
        </patternFill>
      </fill>
    </dxf>
    <dxf>
      <fill>
        <patternFill>
          <bgColor rgb="FFFFA500" tint="0.59999389629810485"/>
        </patternFill>
      </fill>
    </dxf>
    <dxf>
      <fill>
        <patternFill>
          <bgColor rgb="FFFF0000" tint="0.59999389629810485"/>
        </patternFill>
      </fill>
    </dxf>
    <dxf>
      <fill>
        <patternFill>
          <bgColor rgb="FF00FF00" tint="0.59999389629810485"/>
        </patternFill>
      </fill>
    </dxf>
    <dxf>
      <fill>
        <patternFill>
          <bgColor rgb="FFFFFF00" tint="0.59999389629810485"/>
        </patternFill>
      </fill>
    </dxf>
    <dxf>
      <fill>
        <patternFill>
          <bgColor rgb="FFFF0000" tint="0.59999389629810485"/>
        </patternFill>
      </fill>
    </dxf>
    <dxf>
      <fill>
        <patternFill>
          <bgColor rgb="FF00FF00" tint="0.59999389629810485"/>
        </patternFill>
      </fill>
    </dxf>
    <dxf>
      <fill>
        <patternFill>
          <bgColor rgb="FFA5FF50" tint="0.59999389629810485"/>
        </patternFill>
      </fill>
    </dxf>
    <dxf>
      <fill>
        <patternFill>
          <bgColor rgb="FFFFFF00" tint="0.59999389629810485"/>
        </patternFill>
      </fill>
    </dxf>
    <dxf>
      <fill>
        <patternFill>
          <bgColor rgb="FFFFFF00" tint="0.59999389629810485"/>
        </patternFill>
      </fill>
    </dxf>
    <dxf>
      <fill>
        <patternFill>
          <bgColor rgb="FFFFA500" tint="0.59999389629810485"/>
        </patternFill>
      </fill>
    </dxf>
    <dxf>
      <fill>
        <patternFill>
          <bgColor rgb="FFFF0000" tint="0.59999389629810485"/>
        </patternFill>
      </fill>
    </dxf>
    <dxf>
      <fill>
        <patternFill>
          <bgColor rgb="FF00FF00" tint="0.59999389629810485"/>
        </patternFill>
      </fill>
    </dxf>
    <dxf>
      <fill>
        <patternFill>
          <bgColor rgb="FF00FF00" tint="0.59999389629810485"/>
        </patternFill>
      </fill>
    </dxf>
    <dxf>
      <fill>
        <patternFill>
          <bgColor rgb="FFA5FF50" tint="0.59999389629810485"/>
        </patternFill>
      </fill>
    </dxf>
    <dxf>
      <fill>
        <patternFill>
          <bgColor rgb="FFFFFF00" tint="0.59999389629810485"/>
        </patternFill>
      </fill>
    </dxf>
    <dxf>
      <fill>
        <patternFill>
          <bgColor rgb="FFFFA500" tint="0.59999389629810485"/>
        </patternFill>
      </fill>
    </dxf>
    <dxf>
      <fill>
        <patternFill>
          <bgColor rgb="FFFF0000" tint="0.59999389629810485"/>
        </patternFill>
      </fill>
    </dxf>
    <dxf>
      <fill>
        <patternFill>
          <bgColor rgb="FF00FF00" tint="0.59999389629810485"/>
        </patternFill>
      </fill>
    </dxf>
    <dxf>
      <fill>
        <patternFill>
          <bgColor rgb="FFFFFF00" tint="0.59999389629810485"/>
        </patternFill>
      </fill>
    </dxf>
    <dxf>
      <fill>
        <patternFill>
          <bgColor rgb="FFFF0000" tint="0.59999389629810485"/>
        </patternFill>
      </fill>
    </dxf>
    <dxf>
      <fill>
        <patternFill>
          <bgColor rgb="FF00FF00" tint="0.59999389629810485"/>
        </patternFill>
      </fill>
    </dxf>
    <dxf>
      <fill>
        <patternFill>
          <bgColor rgb="FFA5FF50" tint="0.59999389629810485"/>
        </patternFill>
      </fill>
    </dxf>
    <dxf>
      <fill>
        <patternFill>
          <bgColor rgb="FFFFFF00" tint="0.59999389629810485"/>
        </patternFill>
      </fill>
    </dxf>
    <dxf>
      <fill>
        <patternFill>
          <bgColor rgb="FFFFFF00" tint="0.59999389629810485"/>
        </patternFill>
      </fill>
    </dxf>
    <dxf>
      <fill>
        <patternFill>
          <bgColor rgb="FFFFA500" tint="0.59999389629810485"/>
        </patternFill>
      </fill>
    </dxf>
    <dxf>
      <fill>
        <patternFill>
          <bgColor rgb="FFFF0000" tint="0.59999389629810485"/>
        </patternFill>
      </fill>
    </dxf>
    <dxf>
      <fill>
        <patternFill>
          <bgColor rgb="FF00FF00" tint="0.59999389629810485"/>
        </patternFill>
      </fill>
    </dxf>
    <dxf>
      <fill>
        <patternFill>
          <bgColor rgb="FFFFFF00" tint="0.59999389629810485"/>
        </patternFill>
      </fill>
    </dxf>
    <dxf>
      <fill>
        <patternFill>
          <bgColor rgb="FFFF0000" tint="0.59999389629810485"/>
        </patternFill>
      </fill>
    </dxf>
    <dxf>
      <fill>
        <patternFill>
          <bgColor rgb="FF00FF00" tint="0.59999389629810485"/>
        </patternFill>
      </fill>
    </dxf>
    <dxf>
      <fill>
        <patternFill>
          <bgColor rgb="FFA5FF50" tint="0.59999389629810485"/>
        </patternFill>
      </fill>
    </dxf>
    <dxf>
      <fill>
        <patternFill>
          <bgColor rgb="FFFFFF00" tint="0.59999389629810485"/>
        </patternFill>
      </fill>
    </dxf>
    <dxf>
      <fill>
        <patternFill>
          <bgColor rgb="FFFFFF00" tint="0.59999389629810485"/>
        </patternFill>
      </fill>
    </dxf>
    <dxf>
      <fill>
        <patternFill>
          <bgColor rgb="FFFFA500" tint="0.59999389629810485"/>
        </patternFill>
      </fill>
    </dxf>
    <dxf>
      <fill>
        <patternFill>
          <bgColor rgb="FFFF0000" tint="0.59999389629810485"/>
        </patternFill>
      </fill>
    </dxf>
    <dxf>
      <fill>
        <patternFill>
          <bgColor rgb="FF00FF00" tint="0.59999389629810485"/>
        </patternFill>
      </fill>
    </dxf>
    <dxf>
      <fill>
        <patternFill>
          <bgColor rgb="FFA5FF50" tint="0.59999389629810485"/>
        </patternFill>
      </fill>
    </dxf>
    <dxf>
      <fill>
        <patternFill>
          <bgColor rgb="FFFFFF00" tint="0.59999389629810485"/>
        </patternFill>
      </fill>
    </dxf>
    <dxf>
      <fill>
        <patternFill>
          <bgColor rgb="FFFFFF00" tint="0.59999389629810485"/>
        </patternFill>
      </fill>
    </dxf>
    <dxf>
      <fill>
        <patternFill>
          <bgColor rgb="FFFFA500" tint="0.59999389629810485"/>
        </patternFill>
      </fill>
    </dxf>
    <dxf>
      <fill>
        <patternFill>
          <bgColor rgb="FFFF0000" tint="0.59999389629810485"/>
        </patternFill>
      </fill>
    </dxf>
    <dxf>
      <fill>
        <patternFill>
          <bgColor rgb="FF00FF00" tint="0.59999389629810485"/>
        </patternFill>
      </fill>
    </dxf>
    <dxf>
      <fill>
        <patternFill>
          <bgColor rgb="FFFFFF00" tint="0.59999389629810485"/>
        </patternFill>
      </fill>
    </dxf>
    <dxf>
      <fill>
        <patternFill>
          <bgColor rgb="FFFF0000" tint="0.59999389629810485"/>
        </patternFill>
      </fill>
    </dxf>
    <dxf>
      <fill>
        <patternFill>
          <bgColor rgb="FF00FF00" tint="0.59999389629810485"/>
        </patternFill>
      </fill>
    </dxf>
    <dxf>
      <fill>
        <patternFill>
          <bgColor rgb="FFA5FF50" tint="0.59999389629810485"/>
        </patternFill>
      </fill>
    </dxf>
    <dxf>
      <fill>
        <patternFill>
          <bgColor rgb="FFFFFF00" tint="0.59999389629810485"/>
        </patternFill>
      </fill>
    </dxf>
    <dxf>
      <fill>
        <patternFill>
          <bgColor rgb="FFFFFF00" tint="0.59999389629810485"/>
        </patternFill>
      </fill>
    </dxf>
    <dxf>
      <fill>
        <patternFill>
          <bgColor rgb="FFFFA500" tint="0.59999389629810485"/>
        </patternFill>
      </fill>
    </dxf>
    <dxf>
      <fill>
        <patternFill>
          <bgColor rgb="FFFF0000" tint="0.59999389629810485"/>
        </patternFill>
      </fill>
    </dxf>
    <dxf>
      <fill>
        <patternFill>
          <fgColor indexed="64"/>
          <bgColor theme="2" tint="-9.9917600024414813E-2"/>
        </patternFill>
      </fill>
    </dxf>
    <dxf>
      <fill>
        <patternFill>
          <fgColor indexed="64"/>
          <bgColor theme="0" tint="-9.9917600024414813E-2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61FFFF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3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0</xdr:col>
          <xdr:colOff>762000</xdr:colOff>
          <xdr:row>1</xdr:row>
          <xdr:rowOff>69850</xdr:rowOff>
        </xdr:to>
        <xdr:sp macro="" textlink="">
          <xdr:nvSpPr>
            <xdr:cNvPr id="2161" name="Button 113" hidden="1">
              <a:extLst>
                <a:ext uri="{63B3BB69-23CF-44E3-9099-C40C66FF867C}">
                  <a14:compatExt spid="_x0000_s2161"/>
                </a:ext>
                <a:ext uri="{FF2B5EF4-FFF2-40B4-BE49-F238E27FC236}">
                  <a16:creationId xmlns:a16="http://schemas.microsoft.com/office/drawing/2014/main" id="{00000000-0008-0000-0000-00007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Aptos Narrow"/>
                </a:rPr>
                <a:t>Refresh Chart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</xdr:row>
          <xdr:rowOff>69850</xdr:rowOff>
        </xdr:from>
        <xdr:to>
          <xdr:col>0</xdr:col>
          <xdr:colOff>762000</xdr:colOff>
          <xdr:row>2</xdr:row>
          <xdr:rowOff>139700</xdr:rowOff>
        </xdr:to>
        <xdr:sp macro="" textlink="">
          <xdr:nvSpPr>
            <xdr:cNvPr id="2162" name="Button 114" hidden="1">
              <a:extLst>
                <a:ext uri="{63B3BB69-23CF-44E3-9099-C40C66FF867C}">
                  <a14:compatExt spid="_x0000_s2162"/>
                </a:ext>
                <a:ext uri="{FF2B5EF4-FFF2-40B4-BE49-F238E27FC236}">
                  <a16:creationId xmlns:a16="http://schemas.microsoft.com/office/drawing/2014/main" id="{00000000-0008-0000-0000-00007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Aptos Narrow"/>
                </a:rPr>
                <a:t>Total Refresh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93663</xdr:colOff>
      <xdr:row>0</xdr:row>
      <xdr:rowOff>57151</xdr:rowOff>
    </xdr:from>
    <xdr:to>
      <xdr:col>24</xdr:col>
      <xdr:colOff>355600</xdr:colOff>
      <xdr:row>2</xdr:row>
      <xdr:rowOff>3176</xdr:rowOff>
    </xdr:to>
    <xdr:sp macro="[0]!JobTables_Load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3E28E400-AB5E-832B-C136-40EECE6AEFFA}"/>
            </a:ext>
          </a:extLst>
        </xdr:cNvPr>
        <xdr:cNvSpPr/>
      </xdr:nvSpPr>
      <xdr:spPr>
        <a:xfrm>
          <a:off x="20532726" y="57151"/>
          <a:ext cx="1484312" cy="31115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/>
            <a:t>Load Jobs</a:t>
          </a:r>
        </a:p>
      </xdr:txBody>
    </xdr:sp>
    <xdr:clientData/>
  </xdr:twoCellAnchor>
  <xdr:twoCellAnchor>
    <xdr:from>
      <xdr:col>22</xdr:col>
      <xdr:colOff>93663</xdr:colOff>
      <xdr:row>3</xdr:row>
      <xdr:rowOff>1587</xdr:rowOff>
    </xdr:from>
    <xdr:to>
      <xdr:col>24</xdr:col>
      <xdr:colOff>355600</xdr:colOff>
      <xdr:row>5</xdr:row>
      <xdr:rowOff>1587</xdr:rowOff>
    </xdr:to>
    <xdr:sp macro="[0]!JobTables_Save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F49A9837-BE44-51E3-1450-181F068E0740}"/>
            </a:ext>
          </a:extLst>
        </xdr:cNvPr>
        <xdr:cNvSpPr/>
      </xdr:nvSpPr>
      <xdr:spPr>
        <a:xfrm>
          <a:off x="20532726" y="549275"/>
          <a:ext cx="1484312" cy="365125"/>
        </a:xfrm>
        <a:prstGeom prst="roundRect">
          <a:avLst/>
        </a:prstGeom>
      </xdr:spPr>
      <xdr:style>
        <a:lnRef idx="2">
          <a:schemeClr val="accent5">
            <a:shade val="15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/>
            <a:t>Save</a:t>
          </a:r>
          <a:r>
            <a:rPr lang="en-US" sz="1800" baseline="0"/>
            <a:t> Jobs</a:t>
          </a:r>
          <a:endParaRPr lang="en-US" sz="1050"/>
        </a:p>
      </xdr:txBody>
    </xdr:sp>
    <xdr:clientData/>
  </xdr:twoCellAnchor>
  <xdr:twoCellAnchor>
    <xdr:from>
      <xdr:col>22</xdr:col>
      <xdr:colOff>93663</xdr:colOff>
      <xdr:row>5</xdr:row>
      <xdr:rowOff>1587</xdr:rowOff>
    </xdr:from>
    <xdr:to>
      <xdr:col>24</xdr:col>
      <xdr:colOff>355600</xdr:colOff>
      <xdr:row>7</xdr:row>
      <xdr:rowOff>1587</xdr:rowOff>
    </xdr:to>
    <xdr:sp macro="[0]!JobTables_AddNew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49611CED-658E-DA99-1A0C-2833CA3571CE}"/>
            </a:ext>
          </a:extLst>
        </xdr:cNvPr>
        <xdr:cNvSpPr/>
      </xdr:nvSpPr>
      <xdr:spPr>
        <a:xfrm>
          <a:off x="20532726" y="914400"/>
          <a:ext cx="1484312" cy="365125"/>
        </a:xfrm>
        <a:prstGeom prst="roundRect">
          <a:avLst/>
        </a:prstGeom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/>
            <a:t>New Job</a:t>
          </a:r>
          <a:endParaRPr lang="en-US" sz="1100"/>
        </a:p>
      </xdr:txBody>
    </xdr:sp>
    <xdr:clientData/>
  </xdr:twoCellAnchor>
  <xdr:twoCellAnchor>
    <xdr:from>
      <xdr:col>22</xdr:col>
      <xdr:colOff>101378</xdr:colOff>
      <xdr:row>8</xdr:row>
      <xdr:rowOff>8038</xdr:rowOff>
    </xdr:from>
    <xdr:to>
      <xdr:col>25</xdr:col>
      <xdr:colOff>366935</xdr:colOff>
      <xdr:row>10</xdr:row>
      <xdr:rowOff>88418</xdr:rowOff>
    </xdr:to>
    <xdr:sp macro="[0]!JobTables_CalcEndDates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FFCED5E8-1778-F3A7-EEB2-98E887A08529}"/>
            </a:ext>
          </a:extLst>
        </xdr:cNvPr>
        <xdr:cNvSpPr/>
      </xdr:nvSpPr>
      <xdr:spPr>
        <a:xfrm>
          <a:off x="20540441" y="1468538"/>
          <a:ext cx="2099119" cy="445505"/>
        </a:xfrm>
        <a:prstGeom prst="roundRect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800"/>
            <a:t>Calculate End Dates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13</xdr:col>
      <xdr:colOff>138480</xdr:colOff>
      <xdr:row>0</xdr:row>
      <xdr:rowOff>147208</xdr:rowOff>
    </xdr:from>
    <xdr:to>
      <xdr:col>14</xdr:col>
      <xdr:colOff>624849</xdr:colOff>
      <xdr:row>9</xdr:row>
      <xdr:rowOff>92887</xdr:rowOff>
    </xdr:to>
    <xdr:sp macro="[0]!ProductOrderPartTable_Load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BAEA4A7F-A21A-48B5-8DFB-8E91DE432C94}"/>
            </a:ext>
          </a:extLst>
        </xdr:cNvPr>
        <xdr:cNvSpPr/>
      </xdr:nvSpPr>
      <xdr:spPr>
        <a:xfrm>
          <a:off x="14176154" y="147208"/>
          <a:ext cx="1474451" cy="32271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/>
            <a:t>Load</a:t>
          </a:r>
        </a:p>
      </xdr:txBody>
    </xdr:sp>
    <xdr:clientData/>
  </xdr:twoCellAnchor>
  <xdr:twoCellAnchor editAs="absolute">
    <xdr:from>
      <xdr:col>13</xdr:col>
      <xdr:colOff>138480</xdr:colOff>
      <xdr:row>10</xdr:row>
      <xdr:rowOff>89822</xdr:rowOff>
    </xdr:from>
    <xdr:to>
      <xdr:col>14</xdr:col>
      <xdr:colOff>624849</xdr:colOff>
      <xdr:row>20</xdr:row>
      <xdr:rowOff>86865</xdr:rowOff>
    </xdr:to>
    <xdr:sp macro="[0]!ProductOrderPartTable_Save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40F8B063-C573-4B60-85D2-4CE7FDABEAE4}"/>
            </a:ext>
          </a:extLst>
        </xdr:cNvPr>
        <xdr:cNvSpPr/>
      </xdr:nvSpPr>
      <xdr:spPr>
        <a:xfrm>
          <a:off x="14176154" y="655369"/>
          <a:ext cx="1474451" cy="374074"/>
        </a:xfrm>
        <a:prstGeom prst="roundRect">
          <a:avLst/>
        </a:prstGeom>
      </xdr:spPr>
      <xdr:style>
        <a:lnRef idx="2">
          <a:schemeClr val="accent5">
            <a:shade val="15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/>
            <a:t>Save</a:t>
          </a:r>
          <a:endParaRPr lang="en-US" sz="1050"/>
        </a:p>
      </xdr:txBody>
    </xdr:sp>
    <xdr:clientData/>
  </xdr:twoCellAnchor>
  <xdr:twoCellAnchor editAs="absolute">
    <xdr:from>
      <xdr:col>13</xdr:col>
      <xdr:colOff>138480</xdr:colOff>
      <xdr:row>20</xdr:row>
      <xdr:rowOff>86865</xdr:rowOff>
    </xdr:from>
    <xdr:to>
      <xdr:col>14</xdr:col>
      <xdr:colOff>624849</xdr:colOff>
      <xdr:row>22</xdr:row>
      <xdr:rowOff>69453</xdr:rowOff>
    </xdr:to>
    <xdr:sp macro="[0]!ProductOrderPartTable_AddNew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8D74C99C-530F-47BB-B0B1-B38E47E15A6C}"/>
            </a:ext>
          </a:extLst>
        </xdr:cNvPr>
        <xdr:cNvSpPr/>
      </xdr:nvSpPr>
      <xdr:spPr>
        <a:xfrm>
          <a:off x="14176154" y="1029443"/>
          <a:ext cx="1474451" cy="359619"/>
        </a:xfrm>
        <a:prstGeom prst="roundRect">
          <a:avLst/>
        </a:prstGeom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/>
            <a:t>New</a:t>
          </a:r>
          <a:r>
            <a:rPr lang="en-US" sz="1800" baseline="0"/>
            <a:t> PO Part</a:t>
          </a:r>
          <a:endParaRPr 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186379</xdr:colOff>
      <xdr:row>0</xdr:row>
      <xdr:rowOff>95956</xdr:rowOff>
    </xdr:from>
    <xdr:to>
      <xdr:col>7</xdr:col>
      <xdr:colOff>435922</xdr:colOff>
      <xdr:row>2</xdr:row>
      <xdr:rowOff>127000</xdr:rowOff>
    </xdr:to>
    <xdr:sp macro="[0]!ProductOrderTable_Load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7872599C-1205-4CF3-8DED-4A735F9C25C7}"/>
            </a:ext>
          </a:extLst>
        </xdr:cNvPr>
        <xdr:cNvSpPr/>
      </xdr:nvSpPr>
      <xdr:spPr>
        <a:xfrm>
          <a:off x="7163908" y="95956"/>
          <a:ext cx="1467249" cy="404573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/>
            <a:t>Load</a:t>
          </a:r>
        </a:p>
      </xdr:txBody>
    </xdr:sp>
    <xdr:clientData/>
  </xdr:twoCellAnchor>
  <xdr:twoCellAnchor>
    <xdr:from>
      <xdr:col>6</xdr:col>
      <xdr:colOff>193850</xdr:colOff>
      <xdr:row>2</xdr:row>
      <xdr:rowOff>181876</xdr:rowOff>
    </xdr:from>
    <xdr:to>
      <xdr:col>7</xdr:col>
      <xdr:colOff>443393</xdr:colOff>
      <xdr:row>4</xdr:row>
      <xdr:rowOff>184362</xdr:rowOff>
    </xdr:to>
    <xdr:sp macro="[0]!ProductOrderTable_Save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E347FB70-129E-4E37-A4F4-C85202FB046B}"/>
            </a:ext>
          </a:extLst>
        </xdr:cNvPr>
        <xdr:cNvSpPr/>
      </xdr:nvSpPr>
      <xdr:spPr>
        <a:xfrm>
          <a:off x="7171379" y="555405"/>
          <a:ext cx="1467249" cy="376016"/>
        </a:xfrm>
        <a:prstGeom prst="roundRect">
          <a:avLst/>
        </a:prstGeom>
      </xdr:spPr>
      <xdr:style>
        <a:lnRef idx="2">
          <a:schemeClr val="accent5">
            <a:shade val="15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/>
            <a:t>Save</a:t>
          </a:r>
          <a:endParaRPr lang="en-US" sz="1050"/>
        </a:p>
      </xdr:txBody>
    </xdr:sp>
    <xdr:clientData/>
  </xdr:twoCellAnchor>
  <xdr:twoCellAnchor>
    <xdr:from>
      <xdr:col>6</xdr:col>
      <xdr:colOff>186379</xdr:colOff>
      <xdr:row>5</xdr:row>
      <xdr:rowOff>42420</xdr:rowOff>
    </xdr:from>
    <xdr:to>
      <xdr:col>7</xdr:col>
      <xdr:colOff>435922</xdr:colOff>
      <xdr:row>7</xdr:row>
      <xdr:rowOff>44905</xdr:rowOff>
    </xdr:to>
    <xdr:sp macro="[0]!ProductOrderTable_AddNew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E1458522-E8C8-44EC-8B46-0E93175FC278}"/>
            </a:ext>
          </a:extLst>
        </xdr:cNvPr>
        <xdr:cNvSpPr/>
      </xdr:nvSpPr>
      <xdr:spPr>
        <a:xfrm>
          <a:off x="7164244" y="969948"/>
          <a:ext cx="1469599" cy="373496"/>
        </a:xfrm>
        <a:prstGeom prst="roundRect">
          <a:avLst/>
        </a:prstGeom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/>
            <a:t>New PO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331639</xdr:colOff>
      <xdr:row>0</xdr:row>
      <xdr:rowOff>75412</xdr:rowOff>
    </xdr:from>
    <xdr:to>
      <xdr:col>8</xdr:col>
      <xdr:colOff>589901</xdr:colOff>
      <xdr:row>2</xdr:row>
      <xdr:rowOff>23417</xdr:rowOff>
    </xdr:to>
    <xdr:sp macro="[0]!PartTable_Load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79315B6C-F16C-44EF-A60C-57A8A6974CAE}"/>
            </a:ext>
          </a:extLst>
        </xdr:cNvPr>
        <xdr:cNvSpPr/>
      </xdr:nvSpPr>
      <xdr:spPr>
        <a:xfrm>
          <a:off x="12017867" y="75412"/>
          <a:ext cx="1483701" cy="326777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/>
            <a:t>Load</a:t>
          </a:r>
        </a:p>
      </xdr:txBody>
    </xdr:sp>
    <xdr:clientData/>
  </xdr:twoCellAnchor>
  <xdr:twoCellAnchor>
    <xdr:from>
      <xdr:col>6</xdr:col>
      <xdr:colOff>331639</xdr:colOff>
      <xdr:row>3</xdr:row>
      <xdr:rowOff>20351</xdr:rowOff>
    </xdr:from>
    <xdr:to>
      <xdr:col>8</xdr:col>
      <xdr:colOff>589901</xdr:colOff>
      <xdr:row>5</xdr:row>
      <xdr:rowOff>17394</xdr:rowOff>
    </xdr:to>
    <xdr:sp macro="[0]!PartTable_Save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F315CFEC-F52E-4F64-B1F2-9237A5B183DD}"/>
            </a:ext>
          </a:extLst>
        </xdr:cNvPr>
        <xdr:cNvSpPr/>
      </xdr:nvSpPr>
      <xdr:spPr>
        <a:xfrm>
          <a:off x="12017867" y="588509"/>
          <a:ext cx="1483701" cy="375815"/>
        </a:xfrm>
        <a:prstGeom prst="roundRect">
          <a:avLst/>
        </a:prstGeom>
      </xdr:spPr>
      <xdr:style>
        <a:lnRef idx="2">
          <a:schemeClr val="accent5">
            <a:shade val="15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/>
            <a:t>Save</a:t>
          </a:r>
          <a:endParaRPr lang="en-US" sz="1050"/>
        </a:p>
      </xdr:txBody>
    </xdr:sp>
    <xdr:clientData/>
  </xdr:twoCellAnchor>
  <xdr:twoCellAnchor>
    <xdr:from>
      <xdr:col>6</xdr:col>
      <xdr:colOff>331639</xdr:colOff>
      <xdr:row>5</xdr:row>
      <xdr:rowOff>17394</xdr:rowOff>
    </xdr:from>
    <xdr:to>
      <xdr:col>8</xdr:col>
      <xdr:colOff>589901</xdr:colOff>
      <xdr:row>7</xdr:row>
      <xdr:rowOff>14435</xdr:rowOff>
    </xdr:to>
    <xdr:sp macro="[0]!AddNewJob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27A5908E-4A37-4912-851E-9F3BB5A67D46}"/>
            </a:ext>
          </a:extLst>
        </xdr:cNvPr>
        <xdr:cNvSpPr/>
      </xdr:nvSpPr>
      <xdr:spPr>
        <a:xfrm>
          <a:off x="12017867" y="964324"/>
          <a:ext cx="1483701" cy="375813"/>
        </a:xfrm>
        <a:prstGeom prst="roundRect">
          <a:avLst/>
        </a:prstGeom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/>
            <a:t>New Part</a:t>
          </a:r>
          <a:endParaRPr 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337766</xdr:colOff>
      <xdr:row>1</xdr:row>
      <xdr:rowOff>54042</xdr:rowOff>
    </xdr:from>
    <xdr:to>
      <xdr:col>20</xdr:col>
      <xdr:colOff>599270</xdr:colOff>
      <xdr:row>2</xdr:row>
      <xdr:rowOff>176151</xdr:rowOff>
    </xdr:to>
    <xdr:sp macro="[0]!ResourceTables_Load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D2102FEC-B03C-489C-8D3A-0BAD3B2390BE}"/>
            </a:ext>
          </a:extLst>
        </xdr:cNvPr>
        <xdr:cNvSpPr/>
      </xdr:nvSpPr>
      <xdr:spPr>
        <a:xfrm>
          <a:off x="24265106" y="243191"/>
          <a:ext cx="1477462" cy="311258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/>
            <a:t>Load</a:t>
          </a:r>
        </a:p>
      </xdr:txBody>
    </xdr:sp>
    <xdr:clientData/>
  </xdr:twoCellAnchor>
  <xdr:twoCellAnchor>
    <xdr:from>
      <xdr:col>18</xdr:col>
      <xdr:colOff>337766</xdr:colOff>
      <xdr:row>3</xdr:row>
      <xdr:rowOff>168085</xdr:rowOff>
    </xdr:from>
    <xdr:to>
      <xdr:col>20</xdr:col>
      <xdr:colOff>599270</xdr:colOff>
      <xdr:row>5</xdr:row>
      <xdr:rowOff>155130</xdr:rowOff>
    </xdr:to>
    <xdr:sp macro="[0]!ResourceTables_Save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8C1A674-9AC6-4A80-B9A3-738892F4A821}"/>
            </a:ext>
          </a:extLst>
        </xdr:cNvPr>
        <xdr:cNvSpPr/>
      </xdr:nvSpPr>
      <xdr:spPr>
        <a:xfrm>
          <a:off x="24265106" y="735532"/>
          <a:ext cx="1477462" cy="365343"/>
        </a:xfrm>
        <a:prstGeom prst="roundRect">
          <a:avLst/>
        </a:prstGeom>
      </xdr:spPr>
      <xdr:style>
        <a:lnRef idx="2">
          <a:schemeClr val="accent5">
            <a:shade val="15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/>
            <a:t>Save</a:t>
          </a:r>
          <a:endParaRPr lang="en-US" sz="1050"/>
        </a:p>
      </xdr:txBody>
    </xdr:sp>
    <xdr:clientData/>
  </xdr:twoCellAnchor>
  <xdr:twoCellAnchor>
    <xdr:from>
      <xdr:col>18</xdr:col>
      <xdr:colOff>337766</xdr:colOff>
      <xdr:row>5</xdr:row>
      <xdr:rowOff>155130</xdr:rowOff>
    </xdr:from>
    <xdr:to>
      <xdr:col>21</xdr:col>
      <xdr:colOff>88900</xdr:colOff>
      <xdr:row>7</xdr:row>
      <xdr:rowOff>142174</xdr:rowOff>
    </xdr:to>
    <xdr:sp macro="[0]!ResourcesTables_AddNew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B2B1A958-B9B2-46DB-83A9-3677FF6B920A}"/>
            </a:ext>
          </a:extLst>
        </xdr:cNvPr>
        <xdr:cNvSpPr/>
      </xdr:nvSpPr>
      <xdr:spPr>
        <a:xfrm>
          <a:off x="24245516" y="1075880"/>
          <a:ext cx="1579934" cy="355344"/>
        </a:xfrm>
        <a:prstGeom prst="roundRect">
          <a:avLst/>
        </a:prstGeom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/>
            <a:t>New Resource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B9730E-4DD0-4879-96B9-EE6B6F4C6C21}">
  <sheetPr codeName="Sheet2"/>
  <dimension ref="A1:AJZ12"/>
  <sheetViews>
    <sheetView zoomScale="81" workbookViewId="0">
      <pane xSplit="1" ySplit="3" topLeftCell="CR5" activePane="bottomRight" state="frozenSplit"/>
      <selection pane="topRight" activeCell="B1" sqref="B1"/>
      <selection pane="bottomLeft" activeCell="A4" sqref="A4"/>
      <selection pane="bottomRight" activeCell="GV10" sqref="GV10"/>
    </sheetView>
  </sheetViews>
  <sheetFormatPr defaultColWidth="8.6328125" defaultRowHeight="14.5" customHeight="1" x14ac:dyDescent="0.35"/>
  <cols>
    <col min="1" max="1" width="21.6328125" customWidth="1"/>
    <col min="3" max="962" width="2.90625" customWidth="1"/>
  </cols>
  <sheetData>
    <row r="1" spans="1:962" ht="14.5" customHeight="1" x14ac:dyDescent="0.35">
      <c r="A1" s="1">
        <f ca="1">TODAY()</f>
        <v>45839</v>
      </c>
      <c r="C1" t="str">
        <f ca="1">TEXT(C2,"MMMM")</f>
        <v>June</v>
      </c>
      <c r="FO1" t="str">
        <f ca="1">TEXT(FO2,"MMMM")</f>
        <v>June</v>
      </c>
      <c r="MA1" t="str">
        <f ca="1">TEXT(MA2,"MMMM")</f>
        <v>July</v>
      </c>
      <c r="SM1" t="str">
        <f ca="1">TEXT(SM2,"MMMM")</f>
        <v>July</v>
      </c>
      <c r="YY1" t="str">
        <f ca="1">TEXT(YY2,"MMMM")</f>
        <v>July</v>
      </c>
      <c r="AFK1" t="str">
        <f ca="1">TEXT(AFK2,"MMMM")</f>
        <v>August</v>
      </c>
    </row>
    <row r="2" spans="1:962" ht="14.5" customHeight="1" x14ac:dyDescent="0.35">
      <c r="A2" s="2">
        <v>-10</v>
      </c>
      <c r="C2" s="67">
        <f ca="1">IFERROR(Current_Day+Scrolling_Increment, TODAY())</f>
        <v>45829</v>
      </c>
      <c r="D2" s="67"/>
      <c r="E2" s="67"/>
      <c r="F2" s="67"/>
      <c r="G2" s="67"/>
      <c r="H2" s="67"/>
      <c r="I2" s="67"/>
      <c r="J2" s="67"/>
      <c r="K2" s="67"/>
      <c r="L2" s="67"/>
      <c r="M2" s="67"/>
      <c r="N2" s="67"/>
      <c r="O2" s="67"/>
      <c r="P2" s="67"/>
      <c r="Q2" s="67"/>
      <c r="R2" s="67"/>
      <c r="S2" s="67"/>
      <c r="T2" s="67"/>
      <c r="U2" s="67"/>
      <c r="V2" s="67"/>
      <c r="W2" s="67"/>
      <c r="X2" s="67"/>
      <c r="Y2" s="67"/>
      <c r="Z2" s="67"/>
      <c r="AA2" s="67">
        <f ca="1">IF(WEEKDAY(C2+1) = 7, C2 + 3, C2+1)</f>
        <v>45830</v>
      </c>
      <c r="AB2" s="67"/>
      <c r="AC2" s="67"/>
      <c r="AD2" s="67"/>
      <c r="AE2" s="67"/>
      <c r="AF2" s="67"/>
      <c r="AG2" s="67"/>
      <c r="AH2" s="67"/>
      <c r="AI2" s="67"/>
      <c r="AJ2" s="67"/>
      <c r="AK2" s="67"/>
      <c r="AL2" s="67"/>
      <c r="AM2" s="67"/>
      <c r="AN2" s="67"/>
      <c r="AO2" s="67"/>
      <c r="AP2" s="67"/>
      <c r="AQ2" s="67"/>
      <c r="AR2" s="67"/>
      <c r="AS2" s="67"/>
      <c r="AT2" s="67"/>
      <c r="AU2" s="67"/>
      <c r="AV2" s="67"/>
      <c r="AW2" s="67"/>
      <c r="AX2" s="67"/>
      <c r="AY2" s="67">
        <f ca="1">IF(WEEKDAY(AA2+1) = 7, AA2 + 3, AA2+1)</f>
        <v>45831</v>
      </c>
      <c r="AZ2" s="67"/>
      <c r="BA2" s="67"/>
      <c r="BB2" s="67"/>
      <c r="BC2" s="67"/>
      <c r="BD2" s="67"/>
      <c r="BE2" s="67"/>
      <c r="BF2" s="67"/>
      <c r="BG2" s="67"/>
      <c r="BH2" s="67"/>
      <c r="BI2" s="67"/>
      <c r="BJ2" s="67"/>
      <c r="BK2" s="67"/>
      <c r="BL2" s="67"/>
      <c r="BM2" s="67"/>
      <c r="BN2" s="67"/>
      <c r="BO2" s="67"/>
      <c r="BP2" s="67"/>
      <c r="BQ2" s="67"/>
      <c r="BR2" s="67"/>
      <c r="BS2" s="67"/>
      <c r="BT2" s="67"/>
      <c r="BU2" s="67"/>
      <c r="BV2" s="67"/>
      <c r="BW2" s="67">
        <f ca="1">IF(WEEKDAY(AY2+1) = 7, AY2 + 3, AY2+1)</f>
        <v>45832</v>
      </c>
      <c r="BX2" s="67"/>
      <c r="BY2" s="67"/>
      <c r="BZ2" s="67"/>
      <c r="CA2" s="67"/>
      <c r="CB2" s="67"/>
      <c r="CC2" s="67"/>
      <c r="CD2" s="67"/>
      <c r="CE2" s="67"/>
      <c r="CF2" s="67"/>
      <c r="CG2" s="67"/>
      <c r="CH2" s="67"/>
      <c r="CI2" s="67"/>
      <c r="CJ2" s="67"/>
      <c r="CK2" s="67"/>
      <c r="CL2" s="67"/>
      <c r="CM2" s="67"/>
      <c r="CN2" s="67"/>
      <c r="CO2" s="67"/>
      <c r="CP2" s="67"/>
      <c r="CQ2" s="67"/>
      <c r="CR2" s="67"/>
      <c r="CS2" s="67"/>
      <c r="CT2" s="67"/>
      <c r="CU2" s="67">
        <f ca="1">IF(WEEKDAY(BW2+1) = 7, BW2 + 3, BW2+1)</f>
        <v>45833</v>
      </c>
      <c r="CV2" s="67"/>
      <c r="CW2" s="67"/>
      <c r="CX2" s="67"/>
      <c r="CY2" s="67"/>
      <c r="CZ2" s="67"/>
      <c r="DA2" s="67"/>
      <c r="DB2" s="67"/>
      <c r="DC2" s="67"/>
      <c r="DD2" s="67"/>
      <c r="DE2" s="67"/>
      <c r="DF2" s="67"/>
      <c r="DG2" s="67"/>
      <c r="DH2" s="67"/>
      <c r="DI2" s="67"/>
      <c r="DJ2" s="67"/>
      <c r="DK2" s="67"/>
      <c r="DL2" s="67"/>
      <c r="DM2" s="67"/>
      <c r="DN2" s="67"/>
      <c r="DO2" s="67"/>
      <c r="DP2" s="67"/>
      <c r="DQ2" s="67"/>
      <c r="DR2" s="67"/>
      <c r="DS2" s="67">
        <f ca="1">IF(WEEKDAY(CU2+1) = 7, CU2 + 3, CU2+1)</f>
        <v>45834</v>
      </c>
      <c r="DT2" s="67"/>
      <c r="DU2" s="67"/>
      <c r="DV2" s="67"/>
      <c r="DW2" s="67"/>
      <c r="DX2" s="67"/>
      <c r="DY2" s="67"/>
      <c r="DZ2" s="67"/>
      <c r="EA2" s="67"/>
      <c r="EB2" s="67"/>
      <c r="EC2" s="67"/>
      <c r="ED2" s="67"/>
      <c r="EE2" s="67"/>
      <c r="EF2" s="67"/>
      <c r="EG2" s="67"/>
      <c r="EH2" s="67"/>
      <c r="EI2" s="67"/>
      <c r="EJ2" s="67"/>
      <c r="EK2" s="67"/>
      <c r="EL2" s="67"/>
      <c r="EM2" s="67"/>
      <c r="EN2" s="67"/>
      <c r="EO2" s="67"/>
      <c r="EP2" s="67"/>
      <c r="EQ2" s="67">
        <f ca="1">IF(WEEKDAY(DS2+1) = 7, DS2 + 3, DS2+1)</f>
        <v>45835</v>
      </c>
      <c r="ER2" s="67"/>
      <c r="ES2" s="67"/>
      <c r="ET2" s="67"/>
      <c r="EU2" s="67"/>
      <c r="EV2" s="67"/>
      <c r="EW2" s="67"/>
      <c r="EX2" s="67"/>
      <c r="EY2" s="67"/>
      <c r="EZ2" s="67"/>
      <c r="FA2" s="67"/>
      <c r="FB2" s="67"/>
      <c r="FC2" s="67"/>
      <c r="FD2" s="67"/>
      <c r="FE2" s="67"/>
      <c r="FF2" s="67"/>
      <c r="FG2" s="67"/>
      <c r="FH2" s="67"/>
      <c r="FI2" s="67"/>
      <c r="FJ2" s="67"/>
      <c r="FK2" s="67"/>
      <c r="FL2" s="67"/>
      <c r="FM2" s="67"/>
      <c r="FN2" s="67"/>
      <c r="FO2" s="67">
        <f ca="1">IF(WEEKDAY(EQ2+1) = 7, EQ2 + 3, EQ2+1)</f>
        <v>45838</v>
      </c>
      <c r="FP2" s="67"/>
      <c r="FQ2" s="67"/>
      <c r="FR2" s="67"/>
      <c r="FS2" s="67"/>
      <c r="FT2" s="67"/>
      <c r="FU2" s="67"/>
      <c r="FV2" s="67"/>
      <c r="FW2" s="67"/>
      <c r="FX2" s="67"/>
      <c r="FY2" s="67"/>
      <c r="FZ2" s="67"/>
      <c r="GA2" s="67"/>
      <c r="GB2" s="67"/>
      <c r="GC2" s="67"/>
      <c r="GD2" s="67"/>
      <c r="GE2" s="67"/>
      <c r="GF2" s="67"/>
      <c r="GG2" s="67"/>
      <c r="GH2" s="67"/>
      <c r="GI2" s="67"/>
      <c r="GJ2" s="67"/>
      <c r="GK2" s="67"/>
      <c r="GL2" s="67"/>
      <c r="GM2" s="67">
        <f ca="1">IF(WEEKDAY(FO2+1) = 7, FO2 + 3, FO2+1)</f>
        <v>45839</v>
      </c>
      <c r="GN2" s="67"/>
      <c r="GO2" s="67"/>
      <c r="GP2" s="67"/>
      <c r="GQ2" s="67"/>
      <c r="GR2" s="67"/>
      <c r="GS2" s="67"/>
      <c r="GT2" s="67"/>
      <c r="GU2" s="67"/>
      <c r="GV2" s="67"/>
      <c r="GW2" s="67"/>
      <c r="GX2" s="67"/>
      <c r="GY2" s="67"/>
      <c r="GZ2" s="67"/>
      <c r="HA2" s="67"/>
      <c r="HB2" s="67"/>
      <c r="HC2" s="67"/>
      <c r="HD2" s="67"/>
      <c r="HE2" s="67"/>
      <c r="HF2" s="67"/>
      <c r="HG2" s="67"/>
      <c r="HH2" s="67"/>
      <c r="HI2" s="67"/>
      <c r="HJ2" s="67"/>
      <c r="HK2" s="67">
        <f ca="1">IF(WEEKDAY(GM2+1) = 7, GM2 + 3, GM2+1)</f>
        <v>45840</v>
      </c>
      <c r="HL2" s="67"/>
      <c r="HM2" s="67"/>
      <c r="HN2" s="67"/>
      <c r="HO2" s="67"/>
      <c r="HP2" s="67"/>
      <c r="HQ2" s="67"/>
      <c r="HR2" s="67"/>
      <c r="HS2" s="67"/>
      <c r="HT2" s="67"/>
      <c r="HU2" s="67"/>
      <c r="HV2" s="67"/>
      <c r="HW2" s="67"/>
      <c r="HX2" s="67"/>
      <c r="HY2" s="67"/>
      <c r="HZ2" s="67"/>
      <c r="IA2" s="67"/>
      <c r="IB2" s="67"/>
      <c r="IC2" s="67"/>
      <c r="ID2" s="67"/>
      <c r="IE2" s="67"/>
      <c r="IF2" s="67"/>
      <c r="IG2" s="67"/>
      <c r="IH2" s="67"/>
      <c r="II2" s="67">
        <f ca="1">IF(WEEKDAY(HK2+1) = 7, HK2 + 3, HK2+1)</f>
        <v>45841</v>
      </c>
      <c r="IJ2" s="67"/>
      <c r="IK2" s="67"/>
      <c r="IL2" s="67"/>
      <c r="IM2" s="67"/>
      <c r="IN2" s="67"/>
      <c r="IO2" s="67"/>
      <c r="IP2" s="67"/>
      <c r="IQ2" s="67"/>
      <c r="IR2" s="67"/>
      <c r="IS2" s="67"/>
      <c r="IT2" s="67"/>
      <c r="IU2" s="67"/>
      <c r="IV2" s="67"/>
      <c r="IW2" s="67"/>
      <c r="IX2" s="67"/>
      <c r="IY2" s="67"/>
      <c r="IZ2" s="67"/>
      <c r="JA2" s="67"/>
      <c r="JB2" s="67"/>
      <c r="JC2" s="67"/>
      <c r="JD2" s="67"/>
      <c r="JE2" s="67"/>
      <c r="JF2" s="67"/>
      <c r="JG2" s="67">
        <f ca="1">IF(WEEKDAY(II2+1) = 7, II2 + 3, II2+1)</f>
        <v>45842</v>
      </c>
      <c r="JH2" s="67"/>
      <c r="JI2" s="67"/>
      <c r="JJ2" s="67"/>
      <c r="JK2" s="67"/>
      <c r="JL2" s="67"/>
      <c r="JM2" s="67"/>
      <c r="JN2" s="67"/>
      <c r="JO2" s="67"/>
      <c r="JP2" s="67"/>
      <c r="JQ2" s="67"/>
      <c r="JR2" s="67"/>
      <c r="JS2" s="67"/>
      <c r="JT2" s="67"/>
      <c r="JU2" s="67"/>
      <c r="JV2" s="67"/>
      <c r="JW2" s="67"/>
      <c r="JX2" s="67"/>
      <c r="JY2" s="67"/>
      <c r="JZ2" s="67"/>
      <c r="KA2" s="67"/>
      <c r="KB2" s="67"/>
      <c r="KC2" s="67"/>
      <c r="KD2" s="67"/>
      <c r="KE2" s="67">
        <f ca="1">IF(WEEKDAY(JG2+1) = 7, JG2 + 3, JG2+1)</f>
        <v>45845</v>
      </c>
      <c r="KF2" s="67"/>
      <c r="KG2" s="67"/>
      <c r="KH2" s="67"/>
      <c r="KI2" s="67"/>
      <c r="KJ2" s="67"/>
      <c r="KK2" s="67"/>
      <c r="KL2" s="67"/>
      <c r="KM2" s="67"/>
      <c r="KN2" s="67"/>
      <c r="KO2" s="67"/>
      <c r="KP2" s="67"/>
      <c r="KQ2" s="67"/>
      <c r="KR2" s="67"/>
      <c r="KS2" s="67"/>
      <c r="KT2" s="67"/>
      <c r="KU2" s="67"/>
      <c r="KV2" s="67"/>
      <c r="KW2" s="67"/>
      <c r="KX2" s="67"/>
      <c r="KY2" s="67"/>
      <c r="KZ2" s="67"/>
      <c r="LA2" s="67"/>
      <c r="LB2" s="67"/>
      <c r="LC2" s="67">
        <f ca="1">IF(WEEKDAY(KE2+1) = 7, KE2 + 3, KE2+1)</f>
        <v>45846</v>
      </c>
      <c r="LD2" s="67"/>
      <c r="LE2" s="67"/>
      <c r="LF2" s="67"/>
      <c r="LG2" s="67"/>
      <c r="LH2" s="67"/>
      <c r="LI2" s="67"/>
      <c r="LJ2" s="67"/>
      <c r="LK2" s="67"/>
      <c r="LL2" s="67"/>
      <c r="LM2" s="67"/>
      <c r="LN2" s="67"/>
      <c r="LO2" s="67"/>
      <c r="LP2" s="67"/>
      <c r="LQ2" s="67"/>
      <c r="LR2" s="67"/>
      <c r="LS2" s="67"/>
      <c r="LT2" s="67"/>
      <c r="LU2" s="67"/>
      <c r="LV2" s="67"/>
      <c r="LW2" s="67"/>
      <c r="LX2" s="67"/>
      <c r="LY2" s="67"/>
      <c r="LZ2" s="67"/>
      <c r="MA2" s="67">
        <f ca="1">IF(WEEKDAY(LC2+1) = 7, LC2 + 3, LC2+1)</f>
        <v>45847</v>
      </c>
      <c r="MB2" s="67"/>
      <c r="MC2" s="67"/>
      <c r="MD2" s="67"/>
      <c r="ME2" s="67"/>
      <c r="MF2" s="67"/>
      <c r="MG2" s="67"/>
      <c r="MH2" s="67"/>
      <c r="MI2" s="67"/>
      <c r="MJ2" s="67"/>
      <c r="MK2" s="67"/>
      <c r="ML2" s="67"/>
      <c r="MM2" s="67"/>
      <c r="MN2" s="67"/>
      <c r="MO2" s="67"/>
      <c r="MP2" s="67"/>
      <c r="MQ2" s="67"/>
      <c r="MR2" s="67"/>
      <c r="MS2" s="67"/>
      <c r="MT2" s="67"/>
      <c r="MU2" s="67"/>
      <c r="MV2" s="67"/>
      <c r="MW2" s="67"/>
      <c r="MX2" s="67"/>
      <c r="MY2" s="67">
        <f ca="1">IF(WEEKDAY(MA2+1) = 7, MA2 + 3, MA2+1)</f>
        <v>45848</v>
      </c>
      <c r="MZ2" s="67"/>
      <c r="NA2" s="67"/>
      <c r="NB2" s="67"/>
      <c r="NC2" s="67"/>
      <c r="ND2" s="67"/>
      <c r="NE2" s="67"/>
      <c r="NF2" s="67"/>
      <c r="NG2" s="67"/>
      <c r="NH2" s="67"/>
      <c r="NI2" s="67"/>
      <c r="NJ2" s="67"/>
      <c r="NK2" s="67"/>
      <c r="NL2" s="67"/>
      <c r="NM2" s="67"/>
      <c r="NN2" s="67"/>
      <c r="NO2" s="67"/>
      <c r="NP2" s="67"/>
      <c r="NQ2" s="67"/>
      <c r="NR2" s="67"/>
      <c r="NS2" s="67"/>
      <c r="NT2" s="67"/>
      <c r="NU2" s="67"/>
      <c r="NV2" s="67"/>
      <c r="NW2" s="67">
        <f ca="1">IF(WEEKDAY(MY2+1) = 7, MY2 + 3, MY2+1)</f>
        <v>45849</v>
      </c>
      <c r="NX2" s="67"/>
      <c r="NY2" s="67"/>
      <c r="NZ2" s="67"/>
      <c r="OA2" s="67"/>
      <c r="OB2" s="67"/>
      <c r="OC2" s="67"/>
      <c r="OD2" s="67"/>
      <c r="OE2" s="67"/>
      <c r="OF2" s="67"/>
      <c r="OG2" s="67"/>
      <c r="OH2" s="67"/>
      <c r="OI2" s="67"/>
      <c r="OJ2" s="67"/>
      <c r="OK2" s="67"/>
      <c r="OL2" s="67"/>
      <c r="OM2" s="67"/>
      <c r="ON2" s="67"/>
      <c r="OO2" s="67"/>
      <c r="OP2" s="67"/>
      <c r="OQ2" s="67"/>
      <c r="OR2" s="67"/>
      <c r="OS2" s="67"/>
      <c r="OT2" s="67"/>
      <c r="OU2" s="67">
        <f ca="1">IF(WEEKDAY(NW2+1) = 7, NW2 + 3, NW2+1)</f>
        <v>45852</v>
      </c>
      <c r="OV2" s="67"/>
      <c r="OW2" s="67"/>
      <c r="OX2" s="67"/>
      <c r="OY2" s="67"/>
      <c r="OZ2" s="67"/>
      <c r="PA2" s="67"/>
      <c r="PB2" s="67"/>
      <c r="PC2" s="67"/>
      <c r="PD2" s="67"/>
      <c r="PE2" s="67"/>
      <c r="PF2" s="67"/>
      <c r="PG2" s="67"/>
      <c r="PH2" s="67"/>
      <c r="PI2" s="67"/>
      <c r="PJ2" s="67"/>
      <c r="PK2" s="67"/>
      <c r="PL2" s="67"/>
      <c r="PM2" s="67"/>
      <c r="PN2" s="67"/>
      <c r="PO2" s="67"/>
      <c r="PP2" s="67"/>
      <c r="PQ2" s="67"/>
      <c r="PR2" s="67"/>
      <c r="PS2" s="67">
        <f ca="1">IF(WEEKDAY(OU2+1) = 7, OU2 + 3, OU2+1)</f>
        <v>45853</v>
      </c>
      <c r="PT2" s="67"/>
      <c r="PU2" s="67"/>
      <c r="PV2" s="67"/>
      <c r="PW2" s="67"/>
      <c r="PX2" s="67"/>
      <c r="PY2" s="67"/>
      <c r="PZ2" s="67"/>
      <c r="QA2" s="67"/>
      <c r="QB2" s="67"/>
      <c r="QC2" s="67"/>
      <c r="QD2" s="67"/>
      <c r="QE2" s="67"/>
      <c r="QF2" s="67"/>
      <c r="QG2" s="67"/>
      <c r="QH2" s="67"/>
      <c r="QI2" s="67"/>
      <c r="QJ2" s="67"/>
      <c r="QK2" s="67"/>
      <c r="QL2" s="67"/>
      <c r="QM2" s="67"/>
      <c r="QN2" s="67"/>
      <c r="QO2" s="67"/>
      <c r="QP2" s="67"/>
      <c r="QQ2" s="67">
        <f ca="1">IF(WEEKDAY(PS2+1) = 7, PS2 + 3, PS2+1)</f>
        <v>45854</v>
      </c>
      <c r="QR2" s="67"/>
      <c r="QS2" s="67"/>
      <c r="QT2" s="67"/>
      <c r="QU2" s="67"/>
      <c r="QV2" s="67"/>
      <c r="QW2" s="67"/>
      <c r="QX2" s="67"/>
      <c r="QY2" s="67"/>
      <c r="QZ2" s="67"/>
      <c r="RA2" s="67"/>
      <c r="RB2" s="67"/>
      <c r="RC2" s="67"/>
      <c r="RD2" s="67"/>
      <c r="RE2" s="67"/>
      <c r="RF2" s="67"/>
      <c r="RG2" s="67"/>
      <c r="RH2" s="67"/>
      <c r="RI2" s="67"/>
      <c r="RJ2" s="67"/>
      <c r="RK2" s="67"/>
      <c r="RL2" s="67"/>
      <c r="RM2" s="67"/>
      <c r="RN2" s="67"/>
      <c r="RO2" s="67">
        <f ca="1">IF(WEEKDAY(QQ2+1) = 7, QQ2 + 3, QQ2+1)</f>
        <v>45855</v>
      </c>
      <c r="RP2" s="67"/>
      <c r="RQ2" s="67"/>
      <c r="RR2" s="67"/>
      <c r="RS2" s="67"/>
      <c r="RT2" s="67"/>
      <c r="RU2" s="67"/>
      <c r="RV2" s="67"/>
      <c r="RW2" s="67"/>
      <c r="RX2" s="67"/>
      <c r="RY2" s="67"/>
      <c r="RZ2" s="67"/>
      <c r="SA2" s="67"/>
      <c r="SB2" s="67"/>
      <c r="SC2" s="67"/>
      <c r="SD2" s="67"/>
      <c r="SE2" s="67"/>
      <c r="SF2" s="67"/>
      <c r="SG2" s="67"/>
      <c r="SH2" s="67"/>
      <c r="SI2" s="67"/>
      <c r="SJ2" s="67"/>
      <c r="SK2" s="67"/>
      <c r="SL2" s="67"/>
      <c r="SM2" s="67">
        <f ca="1">IF(WEEKDAY(RO2+1) = 7, RO2 + 3, RO2+1)</f>
        <v>45856</v>
      </c>
      <c r="SN2" s="67"/>
      <c r="SO2" s="67"/>
      <c r="SP2" s="67"/>
      <c r="SQ2" s="67"/>
      <c r="SR2" s="67"/>
      <c r="SS2" s="67"/>
      <c r="ST2" s="67"/>
      <c r="SU2" s="67"/>
      <c r="SV2" s="67"/>
      <c r="SW2" s="67"/>
      <c r="SX2" s="67"/>
      <c r="SY2" s="67"/>
      <c r="SZ2" s="67"/>
      <c r="TA2" s="67"/>
      <c r="TB2" s="67"/>
      <c r="TC2" s="67"/>
      <c r="TD2" s="67"/>
      <c r="TE2" s="67"/>
      <c r="TF2" s="67"/>
      <c r="TG2" s="67"/>
      <c r="TH2" s="67"/>
      <c r="TI2" s="67"/>
      <c r="TJ2" s="67"/>
      <c r="TK2" s="67">
        <f ca="1">IF(WEEKDAY(SM2+1) = 7, SM2 + 3, SM2+1)</f>
        <v>45859</v>
      </c>
      <c r="TL2" s="67"/>
      <c r="TM2" s="67"/>
      <c r="TN2" s="67"/>
      <c r="TO2" s="67"/>
      <c r="TP2" s="67"/>
      <c r="TQ2" s="67"/>
      <c r="TR2" s="67"/>
      <c r="TS2" s="67"/>
      <c r="TT2" s="67"/>
      <c r="TU2" s="67"/>
      <c r="TV2" s="67"/>
      <c r="TW2" s="67"/>
      <c r="TX2" s="67"/>
      <c r="TY2" s="67"/>
      <c r="TZ2" s="67"/>
      <c r="UA2" s="67"/>
      <c r="UB2" s="67"/>
      <c r="UC2" s="67"/>
      <c r="UD2" s="67"/>
      <c r="UE2" s="67"/>
      <c r="UF2" s="67"/>
      <c r="UG2" s="67"/>
      <c r="UH2" s="67"/>
      <c r="UI2" s="67">
        <f ca="1">IF(WEEKDAY(TK2+1) = 7, TK2 + 3, TK2+1)</f>
        <v>45860</v>
      </c>
      <c r="UJ2" s="67"/>
      <c r="UK2" s="67"/>
      <c r="UL2" s="67"/>
      <c r="UM2" s="67"/>
      <c r="UN2" s="67"/>
      <c r="UO2" s="67"/>
      <c r="UP2" s="67"/>
      <c r="UQ2" s="67"/>
      <c r="UR2" s="67"/>
      <c r="US2" s="67"/>
      <c r="UT2" s="67"/>
      <c r="UU2" s="67"/>
      <c r="UV2" s="67"/>
      <c r="UW2" s="67"/>
      <c r="UX2" s="67"/>
      <c r="UY2" s="67"/>
      <c r="UZ2" s="67"/>
      <c r="VA2" s="67"/>
      <c r="VB2" s="67"/>
      <c r="VC2" s="67"/>
      <c r="VD2" s="67"/>
      <c r="VE2" s="67"/>
      <c r="VF2" s="67"/>
      <c r="VG2" s="67">
        <f ca="1">IF(WEEKDAY(UI2+1) = 7, UI2 + 3, UI2+1)</f>
        <v>45861</v>
      </c>
      <c r="VH2" s="67"/>
      <c r="VI2" s="67"/>
      <c r="VJ2" s="67"/>
      <c r="VK2" s="67"/>
      <c r="VL2" s="67"/>
      <c r="VM2" s="67"/>
      <c r="VN2" s="67"/>
      <c r="VO2" s="67"/>
      <c r="VP2" s="67"/>
      <c r="VQ2" s="67"/>
      <c r="VR2" s="67"/>
      <c r="VS2" s="67"/>
      <c r="VT2" s="67"/>
      <c r="VU2" s="67"/>
      <c r="VV2" s="67"/>
      <c r="VW2" s="67"/>
      <c r="VX2" s="67"/>
      <c r="VY2" s="67"/>
      <c r="VZ2" s="67"/>
      <c r="WA2" s="67"/>
      <c r="WB2" s="67"/>
      <c r="WC2" s="67"/>
      <c r="WD2" s="67"/>
      <c r="WE2" s="67">
        <f ca="1">IF(WEEKDAY(VG2+1) = 7, VG2 + 3, VG2+1)</f>
        <v>45862</v>
      </c>
      <c r="WF2" s="67"/>
      <c r="WG2" s="67"/>
      <c r="WH2" s="67"/>
      <c r="WI2" s="67"/>
      <c r="WJ2" s="67"/>
      <c r="WK2" s="67"/>
      <c r="WL2" s="67"/>
      <c r="WM2" s="67"/>
      <c r="WN2" s="67"/>
      <c r="WO2" s="67"/>
      <c r="WP2" s="67"/>
      <c r="WQ2" s="67"/>
      <c r="WR2" s="67"/>
      <c r="WS2" s="67"/>
      <c r="WT2" s="67"/>
      <c r="WU2" s="67"/>
      <c r="WV2" s="67"/>
      <c r="WW2" s="67"/>
      <c r="WX2" s="67"/>
      <c r="WY2" s="67"/>
      <c r="WZ2" s="67"/>
      <c r="XA2" s="67"/>
      <c r="XB2" s="67"/>
      <c r="XC2" s="67">
        <f ca="1">IF(WEEKDAY(WE2+1) = 7, WE2 + 3, WE2+1)</f>
        <v>45863</v>
      </c>
      <c r="XD2" s="67"/>
      <c r="XE2" s="67"/>
      <c r="XF2" s="67"/>
      <c r="XG2" s="67"/>
      <c r="XH2" s="67"/>
      <c r="XI2" s="67"/>
      <c r="XJ2" s="67"/>
      <c r="XK2" s="67"/>
      <c r="XL2" s="67"/>
      <c r="XM2" s="67"/>
      <c r="XN2" s="67"/>
      <c r="XO2" s="67"/>
      <c r="XP2" s="67"/>
      <c r="XQ2" s="67"/>
      <c r="XR2" s="67"/>
      <c r="XS2" s="67"/>
      <c r="XT2" s="67"/>
      <c r="XU2" s="67"/>
      <c r="XV2" s="67"/>
      <c r="XW2" s="67"/>
      <c r="XX2" s="67"/>
      <c r="XY2" s="67"/>
      <c r="XZ2" s="67"/>
      <c r="YA2" s="67">
        <f ca="1">IF(WEEKDAY(XC2+1) = 7, XC2 + 3, XC2+1)</f>
        <v>45866</v>
      </c>
      <c r="YB2" s="67"/>
      <c r="YC2" s="67"/>
      <c r="YD2" s="67"/>
      <c r="YE2" s="67"/>
      <c r="YF2" s="67"/>
      <c r="YG2" s="67"/>
      <c r="YH2" s="67"/>
      <c r="YI2" s="67"/>
      <c r="YJ2" s="67"/>
      <c r="YK2" s="67"/>
      <c r="YL2" s="67"/>
      <c r="YM2" s="67"/>
      <c r="YN2" s="67"/>
      <c r="YO2" s="67"/>
      <c r="YP2" s="67"/>
      <c r="YQ2" s="67"/>
      <c r="YR2" s="67"/>
      <c r="YS2" s="67"/>
      <c r="YT2" s="67"/>
      <c r="YU2" s="67"/>
      <c r="YV2" s="67"/>
      <c r="YW2" s="67"/>
      <c r="YX2" s="67"/>
      <c r="YY2" s="67">
        <f ca="1">IF(WEEKDAY(YA2+1) = 7, YA2 + 3, YA2+1)</f>
        <v>45867</v>
      </c>
      <c r="YZ2" s="67"/>
      <c r="ZA2" s="67"/>
      <c r="ZB2" s="67"/>
      <c r="ZC2" s="67"/>
      <c r="ZD2" s="67"/>
      <c r="ZE2" s="67"/>
      <c r="ZF2" s="67"/>
      <c r="ZG2" s="67"/>
      <c r="ZH2" s="67"/>
      <c r="ZI2" s="67"/>
      <c r="ZJ2" s="67"/>
      <c r="ZK2" s="67"/>
      <c r="ZL2" s="67"/>
      <c r="ZM2" s="67"/>
      <c r="ZN2" s="67"/>
      <c r="ZO2" s="67"/>
      <c r="ZP2" s="67"/>
      <c r="ZQ2" s="67"/>
      <c r="ZR2" s="67"/>
      <c r="ZS2" s="67"/>
      <c r="ZT2" s="67"/>
      <c r="ZU2" s="67"/>
      <c r="ZV2" s="67"/>
      <c r="ZW2" s="67">
        <f ca="1">IF(WEEKDAY(YY2+1) = 7, YY2 + 3, YY2+1)</f>
        <v>45868</v>
      </c>
      <c r="ZX2" s="67"/>
      <c r="ZY2" s="67"/>
      <c r="ZZ2" s="67"/>
      <c r="AAA2" s="67"/>
      <c r="AAB2" s="67"/>
      <c r="AAC2" s="67"/>
      <c r="AAD2" s="67"/>
      <c r="AAE2" s="67"/>
      <c r="AAF2" s="67"/>
      <c r="AAG2" s="67"/>
      <c r="AAH2" s="67"/>
      <c r="AAI2" s="67"/>
      <c r="AAJ2" s="67"/>
      <c r="AAK2" s="67"/>
      <c r="AAL2" s="67"/>
      <c r="AAM2" s="67"/>
      <c r="AAN2" s="67"/>
      <c r="AAO2" s="67"/>
      <c r="AAP2" s="67"/>
      <c r="AAQ2" s="67"/>
      <c r="AAR2" s="67"/>
      <c r="AAS2" s="67"/>
      <c r="AAT2" s="67"/>
      <c r="AAU2" s="67">
        <f ca="1">IF(WEEKDAY(ZW2+1) = 7, ZW2 + 3, ZW2+1)</f>
        <v>45869</v>
      </c>
      <c r="AAV2" s="67"/>
      <c r="AAW2" s="67"/>
      <c r="AAX2" s="67"/>
      <c r="AAY2" s="67"/>
      <c r="AAZ2" s="67"/>
      <c r="ABA2" s="67"/>
      <c r="ABB2" s="67"/>
      <c r="ABC2" s="67"/>
      <c r="ABD2" s="67"/>
      <c r="ABE2" s="67"/>
      <c r="ABF2" s="67"/>
      <c r="ABG2" s="67"/>
      <c r="ABH2" s="67"/>
      <c r="ABI2" s="67"/>
      <c r="ABJ2" s="67"/>
      <c r="ABK2" s="67"/>
      <c r="ABL2" s="67"/>
      <c r="ABM2" s="67"/>
      <c r="ABN2" s="67"/>
      <c r="ABO2" s="67"/>
      <c r="ABP2" s="67"/>
      <c r="ABQ2" s="67"/>
      <c r="ABR2" s="67"/>
      <c r="ABS2" s="67">
        <f ca="1">IF(WEEKDAY(AAU2+1) = 7, AAU2 + 3, AAU2+1)</f>
        <v>45870</v>
      </c>
      <c r="ABT2" s="67"/>
      <c r="ABU2" s="67"/>
      <c r="ABV2" s="67"/>
      <c r="ABW2" s="67"/>
      <c r="ABX2" s="67"/>
      <c r="ABY2" s="67"/>
      <c r="ABZ2" s="67"/>
      <c r="ACA2" s="67"/>
      <c r="ACB2" s="67"/>
      <c r="ACC2" s="67"/>
      <c r="ACD2" s="67"/>
      <c r="ACE2" s="67"/>
      <c r="ACF2" s="67"/>
      <c r="ACG2" s="67"/>
      <c r="ACH2" s="67"/>
      <c r="ACI2" s="67"/>
      <c r="ACJ2" s="67"/>
      <c r="ACK2" s="67"/>
      <c r="ACL2" s="67"/>
      <c r="ACM2" s="67"/>
      <c r="ACN2" s="67"/>
      <c r="ACO2" s="67"/>
      <c r="ACP2" s="67"/>
      <c r="ACQ2" s="67">
        <f ca="1">IF(WEEKDAY(ABS2+1) = 7, ABS2 + 3, ABS2+1)</f>
        <v>45873</v>
      </c>
      <c r="ACR2" s="67"/>
      <c r="ACS2" s="67"/>
      <c r="ACT2" s="67"/>
      <c r="ACU2" s="67"/>
      <c r="ACV2" s="67"/>
      <c r="ACW2" s="67"/>
      <c r="ACX2" s="67"/>
      <c r="ACY2" s="67"/>
      <c r="ACZ2" s="67"/>
      <c r="ADA2" s="67"/>
      <c r="ADB2" s="67"/>
      <c r="ADC2" s="67"/>
      <c r="ADD2" s="67"/>
      <c r="ADE2" s="67"/>
      <c r="ADF2" s="67"/>
      <c r="ADG2" s="67"/>
      <c r="ADH2" s="67"/>
      <c r="ADI2" s="67"/>
      <c r="ADJ2" s="67"/>
      <c r="ADK2" s="67"/>
      <c r="ADL2" s="67"/>
      <c r="ADM2" s="67"/>
      <c r="ADN2" s="67"/>
      <c r="ADO2" s="67">
        <f ca="1">IF(WEEKDAY(ACQ2+1) = 7, ACQ2 + 3, ACQ2+1)</f>
        <v>45874</v>
      </c>
      <c r="ADP2" s="67"/>
      <c r="ADQ2" s="67"/>
      <c r="ADR2" s="67"/>
      <c r="ADS2" s="67"/>
      <c r="ADT2" s="67"/>
      <c r="ADU2" s="67"/>
      <c r="ADV2" s="67"/>
      <c r="ADW2" s="67"/>
      <c r="ADX2" s="67"/>
      <c r="ADY2" s="67"/>
      <c r="ADZ2" s="67"/>
      <c r="AEA2" s="67"/>
      <c r="AEB2" s="67"/>
      <c r="AEC2" s="67"/>
      <c r="AED2" s="67"/>
      <c r="AEE2" s="67"/>
      <c r="AEF2" s="67"/>
      <c r="AEG2" s="67"/>
      <c r="AEH2" s="67"/>
      <c r="AEI2" s="67"/>
      <c r="AEJ2" s="67"/>
      <c r="AEK2" s="67"/>
      <c r="AEL2" s="67"/>
      <c r="AEM2" s="67">
        <f ca="1">IF(WEEKDAY(ADO2+1) = 7, ADO2 + 3, ADO2+1)</f>
        <v>45875</v>
      </c>
      <c r="AEN2" s="67"/>
      <c r="AEO2" s="67"/>
      <c r="AEP2" s="67"/>
      <c r="AEQ2" s="67"/>
      <c r="AER2" s="67"/>
      <c r="AES2" s="67"/>
      <c r="AET2" s="67"/>
      <c r="AEU2" s="67"/>
      <c r="AEV2" s="67"/>
      <c r="AEW2" s="67"/>
      <c r="AEX2" s="67"/>
      <c r="AEY2" s="67"/>
      <c r="AEZ2" s="67"/>
      <c r="AFA2" s="67"/>
      <c r="AFB2" s="67"/>
      <c r="AFC2" s="67"/>
      <c r="AFD2" s="67"/>
      <c r="AFE2" s="67"/>
      <c r="AFF2" s="67"/>
      <c r="AFG2" s="67"/>
      <c r="AFH2" s="67"/>
      <c r="AFI2" s="67"/>
      <c r="AFJ2" s="67"/>
      <c r="AFK2" s="67">
        <f ca="1">IF(WEEKDAY(AEM2+1) = 7, AEM2 + 3, AEM2+1)</f>
        <v>45876</v>
      </c>
      <c r="AFL2" s="67"/>
      <c r="AFM2" s="67"/>
      <c r="AFN2" s="67"/>
      <c r="AFO2" s="67"/>
      <c r="AFP2" s="67"/>
      <c r="AFQ2" s="67"/>
      <c r="AFR2" s="67"/>
      <c r="AFS2" s="67"/>
      <c r="AFT2" s="67"/>
      <c r="AFU2" s="67"/>
      <c r="AFV2" s="67"/>
      <c r="AFW2" s="67"/>
      <c r="AFX2" s="67"/>
      <c r="AFY2" s="67"/>
      <c r="AFZ2" s="67"/>
      <c r="AGA2" s="67"/>
      <c r="AGB2" s="67"/>
      <c r="AGC2" s="67"/>
      <c r="AGD2" s="67"/>
      <c r="AGE2" s="67"/>
      <c r="AGF2" s="67"/>
      <c r="AGG2" s="67"/>
      <c r="AGH2" s="67"/>
      <c r="AGI2" s="67">
        <f ca="1">IF(WEEKDAY(AFK2+1) = 7, AFK2 + 3, AFK2+1)</f>
        <v>45877</v>
      </c>
      <c r="AGJ2" s="67"/>
      <c r="AGK2" s="67"/>
      <c r="AGL2" s="67"/>
      <c r="AGM2" s="67"/>
      <c r="AGN2" s="67"/>
      <c r="AGO2" s="67"/>
      <c r="AGP2" s="67"/>
      <c r="AGQ2" s="67"/>
      <c r="AGR2" s="67"/>
      <c r="AGS2" s="67"/>
      <c r="AGT2" s="67"/>
      <c r="AGU2" s="67"/>
      <c r="AGV2" s="67"/>
      <c r="AGW2" s="67"/>
      <c r="AGX2" s="67"/>
      <c r="AGY2" s="67"/>
      <c r="AGZ2" s="67"/>
      <c r="AHA2" s="67"/>
      <c r="AHB2" s="67"/>
      <c r="AHC2" s="67"/>
      <c r="AHD2" s="67"/>
      <c r="AHE2" s="67"/>
      <c r="AHF2" s="67"/>
      <c r="AHG2" s="67">
        <f ca="1">IF(WEEKDAY(AGI2+1) = 7, AGI2 + 3, AGI2+1)</f>
        <v>45880</v>
      </c>
      <c r="AHH2" s="67"/>
      <c r="AHI2" s="67"/>
      <c r="AHJ2" s="67"/>
      <c r="AHK2" s="67"/>
      <c r="AHL2" s="67"/>
      <c r="AHM2" s="67"/>
      <c r="AHN2" s="67"/>
      <c r="AHO2" s="67"/>
      <c r="AHP2" s="67"/>
      <c r="AHQ2" s="67"/>
      <c r="AHR2" s="67"/>
      <c r="AHS2" s="67"/>
      <c r="AHT2" s="67"/>
      <c r="AHU2" s="67"/>
      <c r="AHV2" s="67"/>
      <c r="AHW2" s="67"/>
      <c r="AHX2" s="67"/>
      <c r="AHY2" s="67"/>
      <c r="AHZ2" s="67"/>
      <c r="AIA2" s="67"/>
      <c r="AIB2" s="67"/>
      <c r="AIC2" s="67"/>
      <c r="AID2" s="67"/>
      <c r="AIE2" s="67">
        <f ca="1">IF(WEEKDAY(AHG2+1) = 7, AHG2 + 3, AHG2+1)</f>
        <v>45881</v>
      </c>
      <c r="AIF2" s="67"/>
      <c r="AIG2" s="67"/>
      <c r="AIH2" s="67"/>
      <c r="AII2" s="67"/>
      <c r="AIJ2" s="67"/>
      <c r="AIK2" s="67"/>
      <c r="AIL2" s="67"/>
      <c r="AIM2" s="67"/>
      <c r="AIN2" s="67"/>
      <c r="AIO2" s="67"/>
      <c r="AIP2" s="67"/>
      <c r="AIQ2" s="67"/>
      <c r="AIR2" s="67"/>
      <c r="AIS2" s="67"/>
      <c r="AIT2" s="67"/>
      <c r="AIU2" s="67"/>
      <c r="AIV2" s="67"/>
      <c r="AIW2" s="67"/>
      <c r="AIX2" s="67"/>
      <c r="AIY2" s="67"/>
      <c r="AIZ2" s="67"/>
      <c r="AJA2" s="67"/>
      <c r="AJB2" s="67"/>
      <c r="AJC2" s="67">
        <f ca="1">IF(WEEKDAY(AIE2+1) = 7, AIE2 + 3, AIE2+1)</f>
        <v>45882</v>
      </c>
      <c r="AJD2" s="67"/>
      <c r="AJE2" s="67"/>
      <c r="AJF2" s="67"/>
      <c r="AJG2" s="67"/>
      <c r="AJH2" s="67"/>
      <c r="AJI2" s="67"/>
      <c r="AJJ2" s="67"/>
      <c r="AJK2" s="67"/>
      <c r="AJL2" s="67"/>
      <c r="AJM2" s="67"/>
      <c r="AJN2" s="67"/>
      <c r="AJO2" s="67"/>
      <c r="AJP2" s="67"/>
      <c r="AJQ2" s="67"/>
      <c r="AJR2" s="67"/>
      <c r="AJS2" s="67"/>
      <c r="AJT2" s="67"/>
      <c r="AJU2" s="67"/>
      <c r="AJV2" s="67"/>
      <c r="AJW2" s="67"/>
      <c r="AJX2" s="67"/>
      <c r="AJY2" s="67"/>
      <c r="AJZ2" s="67"/>
    </row>
    <row r="3" spans="1:962" ht="14.5" customHeight="1" x14ac:dyDescent="0.35">
      <c r="C3" s="41">
        <f ca="1">C2</f>
        <v>45829</v>
      </c>
      <c r="D3" s="41">
        <f t="shared" ref="D3:Z3" ca="1" si="0">C3 + 1/24</f>
        <v>45829.041666666664</v>
      </c>
      <c r="E3" s="41">
        <f t="shared" ca="1" si="0"/>
        <v>45829.083333333328</v>
      </c>
      <c r="F3" s="41">
        <f t="shared" ca="1" si="0"/>
        <v>45829.124999999993</v>
      </c>
      <c r="G3" s="41">
        <f t="shared" ca="1" si="0"/>
        <v>45829.166666666657</v>
      </c>
      <c r="H3" s="41">
        <f t="shared" ca="1" si="0"/>
        <v>45829.208333333321</v>
      </c>
      <c r="I3" s="41">
        <f t="shared" ca="1" si="0"/>
        <v>45829.249999999985</v>
      </c>
      <c r="J3" s="41">
        <f t="shared" ca="1" si="0"/>
        <v>45829.29166666665</v>
      </c>
      <c r="K3" s="41">
        <f t="shared" ca="1" si="0"/>
        <v>45829.333333333314</v>
      </c>
      <c r="L3" s="41">
        <f t="shared" ca="1" si="0"/>
        <v>45829.374999999978</v>
      </c>
      <c r="M3" s="41">
        <f t="shared" ca="1" si="0"/>
        <v>45829.416666666642</v>
      </c>
      <c r="N3" s="41">
        <f t="shared" ca="1" si="0"/>
        <v>45829.458333333307</v>
      </c>
      <c r="O3" s="41">
        <f t="shared" ca="1" si="0"/>
        <v>45829.499999999971</v>
      </c>
      <c r="P3" s="41">
        <f t="shared" ca="1" si="0"/>
        <v>45829.541666666635</v>
      </c>
      <c r="Q3" s="41">
        <f t="shared" ca="1" si="0"/>
        <v>45829.583333333299</v>
      </c>
      <c r="R3" s="41">
        <f t="shared" ca="1" si="0"/>
        <v>45829.624999999964</v>
      </c>
      <c r="S3" s="41">
        <f t="shared" ca="1" si="0"/>
        <v>45829.666666666628</v>
      </c>
      <c r="T3" s="41">
        <f t="shared" ca="1" si="0"/>
        <v>45829.708333333292</v>
      </c>
      <c r="U3" s="41">
        <f t="shared" ca="1" si="0"/>
        <v>45829.749999999956</v>
      </c>
      <c r="V3" s="41">
        <f t="shared" ca="1" si="0"/>
        <v>45829.791666666621</v>
      </c>
      <c r="W3" s="41">
        <f t="shared" ca="1" si="0"/>
        <v>45829.833333333285</v>
      </c>
      <c r="X3" s="41">
        <f t="shared" ca="1" si="0"/>
        <v>45829.874999999949</v>
      </c>
      <c r="Y3" s="41">
        <f t="shared" ca="1" si="0"/>
        <v>45829.916666666613</v>
      </c>
      <c r="Z3" s="41">
        <f t="shared" ca="1" si="0"/>
        <v>45829.958333333278</v>
      </c>
      <c r="AA3" s="41">
        <f ca="1">AA2</f>
        <v>45830</v>
      </c>
      <c r="AB3" s="41">
        <f t="shared" ref="AB3:AX3" ca="1" si="1">AA3 + 1/24</f>
        <v>45830.041666666664</v>
      </c>
      <c r="AC3" s="41">
        <f t="shared" ca="1" si="1"/>
        <v>45830.083333333328</v>
      </c>
      <c r="AD3" s="41">
        <f t="shared" ca="1" si="1"/>
        <v>45830.124999999993</v>
      </c>
      <c r="AE3" s="41">
        <f t="shared" ca="1" si="1"/>
        <v>45830.166666666657</v>
      </c>
      <c r="AF3" s="41">
        <f t="shared" ca="1" si="1"/>
        <v>45830.208333333321</v>
      </c>
      <c r="AG3" s="41">
        <f t="shared" ca="1" si="1"/>
        <v>45830.249999999985</v>
      </c>
      <c r="AH3" s="41">
        <f t="shared" ca="1" si="1"/>
        <v>45830.29166666665</v>
      </c>
      <c r="AI3" s="41">
        <f t="shared" ca="1" si="1"/>
        <v>45830.333333333314</v>
      </c>
      <c r="AJ3" s="41">
        <f t="shared" ca="1" si="1"/>
        <v>45830.374999999978</v>
      </c>
      <c r="AK3" s="41">
        <f t="shared" ca="1" si="1"/>
        <v>45830.416666666642</v>
      </c>
      <c r="AL3" s="41">
        <f t="shared" ca="1" si="1"/>
        <v>45830.458333333307</v>
      </c>
      <c r="AM3" s="41">
        <f t="shared" ca="1" si="1"/>
        <v>45830.499999999971</v>
      </c>
      <c r="AN3" s="41">
        <f t="shared" ca="1" si="1"/>
        <v>45830.541666666635</v>
      </c>
      <c r="AO3" s="41">
        <f t="shared" ca="1" si="1"/>
        <v>45830.583333333299</v>
      </c>
      <c r="AP3" s="41">
        <f t="shared" ca="1" si="1"/>
        <v>45830.624999999964</v>
      </c>
      <c r="AQ3" s="41">
        <f t="shared" ca="1" si="1"/>
        <v>45830.666666666628</v>
      </c>
      <c r="AR3" s="41">
        <f t="shared" ca="1" si="1"/>
        <v>45830.708333333292</v>
      </c>
      <c r="AS3" s="41">
        <f t="shared" ca="1" si="1"/>
        <v>45830.749999999956</v>
      </c>
      <c r="AT3" s="41">
        <f t="shared" ca="1" si="1"/>
        <v>45830.791666666621</v>
      </c>
      <c r="AU3" s="41">
        <f t="shared" ca="1" si="1"/>
        <v>45830.833333333285</v>
      </c>
      <c r="AV3" s="41">
        <f t="shared" ca="1" si="1"/>
        <v>45830.874999999949</v>
      </c>
      <c r="AW3" s="41">
        <f t="shared" ca="1" si="1"/>
        <v>45830.916666666613</v>
      </c>
      <c r="AX3" s="41">
        <f t="shared" ca="1" si="1"/>
        <v>45830.958333333278</v>
      </c>
      <c r="AY3" s="41">
        <f ca="1">AY2</f>
        <v>45831</v>
      </c>
      <c r="AZ3" s="41">
        <f t="shared" ref="AZ3:BV3" ca="1" si="2">AY3 + 1/24</f>
        <v>45831.041666666664</v>
      </c>
      <c r="BA3" s="41">
        <f t="shared" ca="1" si="2"/>
        <v>45831.083333333328</v>
      </c>
      <c r="BB3" s="41">
        <f t="shared" ca="1" si="2"/>
        <v>45831.124999999993</v>
      </c>
      <c r="BC3" s="41">
        <f t="shared" ca="1" si="2"/>
        <v>45831.166666666657</v>
      </c>
      <c r="BD3" s="41">
        <f t="shared" ca="1" si="2"/>
        <v>45831.208333333321</v>
      </c>
      <c r="BE3" s="41">
        <f t="shared" ca="1" si="2"/>
        <v>45831.249999999985</v>
      </c>
      <c r="BF3" s="41">
        <f t="shared" ca="1" si="2"/>
        <v>45831.29166666665</v>
      </c>
      <c r="BG3" s="41">
        <f t="shared" ca="1" si="2"/>
        <v>45831.333333333314</v>
      </c>
      <c r="BH3" s="41">
        <f t="shared" ca="1" si="2"/>
        <v>45831.374999999978</v>
      </c>
      <c r="BI3" s="41">
        <f t="shared" ca="1" si="2"/>
        <v>45831.416666666642</v>
      </c>
      <c r="BJ3" s="41">
        <f t="shared" ca="1" si="2"/>
        <v>45831.458333333307</v>
      </c>
      <c r="BK3" s="41">
        <f t="shared" ca="1" si="2"/>
        <v>45831.499999999971</v>
      </c>
      <c r="BL3" s="41">
        <f t="shared" ca="1" si="2"/>
        <v>45831.541666666635</v>
      </c>
      <c r="BM3" s="41">
        <f t="shared" ca="1" si="2"/>
        <v>45831.583333333299</v>
      </c>
      <c r="BN3" s="41">
        <f t="shared" ca="1" si="2"/>
        <v>45831.624999999964</v>
      </c>
      <c r="BO3" s="41">
        <f t="shared" ca="1" si="2"/>
        <v>45831.666666666628</v>
      </c>
      <c r="BP3" s="41">
        <f t="shared" ca="1" si="2"/>
        <v>45831.708333333292</v>
      </c>
      <c r="BQ3" s="41">
        <f t="shared" ca="1" si="2"/>
        <v>45831.749999999956</v>
      </c>
      <c r="BR3" s="41">
        <f t="shared" ca="1" si="2"/>
        <v>45831.791666666621</v>
      </c>
      <c r="BS3" s="41">
        <f t="shared" ca="1" si="2"/>
        <v>45831.833333333285</v>
      </c>
      <c r="BT3" s="41">
        <f t="shared" ca="1" si="2"/>
        <v>45831.874999999949</v>
      </c>
      <c r="BU3" s="41">
        <f t="shared" ca="1" si="2"/>
        <v>45831.916666666613</v>
      </c>
      <c r="BV3" s="41">
        <f t="shared" ca="1" si="2"/>
        <v>45831.958333333278</v>
      </c>
      <c r="BW3" s="41">
        <f ca="1">BW2</f>
        <v>45832</v>
      </c>
      <c r="BX3" s="41">
        <f t="shared" ref="BX3:CT3" ca="1" si="3">BW3 + 1/24</f>
        <v>45832.041666666664</v>
      </c>
      <c r="BY3" s="41">
        <f t="shared" ca="1" si="3"/>
        <v>45832.083333333328</v>
      </c>
      <c r="BZ3" s="41">
        <f t="shared" ca="1" si="3"/>
        <v>45832.124999999993</v>
      </c>
      <c r="CA3" s="41">
        <f t="shared" ca="1" si="3"/>
        <v>45832.166666666657</v>
      </c>
      <c r="CB3" s="41">
        <f t="shared" ca="1" si="3"/>
        <v>45832.208333333321</v>
      </c>
      <c r="CC3" s="41">
        <f t="shared" ca="1" si="3"/>
        <v>45832.249999999985</v>
      </c>
      <c r="CD3" s="41">
        <f t="shared" ca="1" si="3"/>
        <v>45832.29166666665</v>
      </c>
      <c r="CE3" s="41">
        <f t="shared" ca="1" si="3"/>
        <v>45832.333333333314</v>
      </c>
      <c r="CF3" s="41">
        <f t="shared" ca="1" si="3"/>
        <v>45832.374999999978</v>
      </c>
      <c r="CG3" s="41">
        <f t="shared" ca="1" si="3"/>
        <v>45832.416666666642</v>
      </c>
      <c r="CH3" s="41">
        <f t="shared" ca="1" si="3"/>
        <v>45832.458333333307</v>
      </c>
      <c r="CI3" s="41">
        <f t="shared" ca="1" si="3"/>
        <v>45832.499999999971</v>
      </c>
      <c r="CJ3" s="41">
        <f t="shared" ca="1" si="3"/>
        <v>45832.541666666635</v>
      </c>
      <c r="CK3" s="41">
        <f t="shared" ca="1" si="3"/>
        <v>45832.583333333299</v>
      </c>
      <c r="CL3" s="41">
        <f t="shared" ca="1" si="3"/>
        <v>45832.624999999964</v>
      </c>
      <c r="CM3" s="41">
        <f t="shared" ca="1" si="3"/>
        <v>45832.666666666628</v>
      </c>
      <c r="CN3" s="41">
        <f t="shared" ca="1" si="3"/>
        <v>45832.708333333292</v>
      </c>
      <c r="CO3" s="41">
        <f t="shared" ca="1" si="3"/>
        <v>45832.749999999956</v>
      </c>
      <c r="CP3" s="41">
        <f t="shared" ca="1" si="3"/>
        <v>45832.791666666621</v>
      </c>
      <c r="CQ3" s="41">
        <f t="shared" ca="1" si="3"/>
        <v>45832.833333333285</v>
      </c>
      <c r="CR3" s="41">
        <f t="shared" ca="1" si="3"/>
        <v>45832.874999999949</v>
      </c>
      <c r="CS3" s="41">
        <f t="shared" ca="1" si="3"/>
        <v>45832.916666666613</v>
      </c>
      <c r="CT3" s="41">
        <f t="shared" ca="1" si="3"/>
        <v>45832.958333333278</v>
      </c>
      <c r="CU3" s="41">
        <f ca="1">CU2</f>
        <v>45833</v>
      </c>
      <c r="CV3" s="41">
        <f t="shared" ref="CV3:DR3" ca="1" si="4">CU3 + 1/24</f>
        <v>45833.041666666664</v>
      </c>
      <c r="CW3" s="41">
        <f t="shared" ca="1" si="4"/>
        <v>45833.083333333328</v>
      </c>
      <c r="CX3" s="41">
        <f t="shared" ca="1" si="4"/>
        <v>45833.124999999993</v>
      </c>
      <c r="CY3" s="41">
        <f t="shared" ca="1" si="4"/>
        <v>45833.166666666657</v>
      </c>
      <c r="CZ3" s="41">
        <f t="shared" ca="1" si="4"/>
        <v>45833.208333333321</v>
      </c>
      <c r="DA3" s="41">
        <f t="shared" ca="1" si="4"/>
        <v>45833.249999999985</v>
      </c>
      <c r="DB3" s="41">
        <f t="shared" ca="1" si="4"/>
        <v>45833.29166666665</v>
      </c>
      <c r="DC3" s="41">
        <f t="shared" ca="1" si="4"/>
        <v>45833.333333333314</v>
      </c>
      <c r="DD3" s="41">
        <f t="shared" ca="1" si="4"/>
        <v>45833.374999999978</v>
      </c>
      <c r="DE3" s="41">
        <f t="shared" ca="1" si="4"/>
        <v>45833.416666666642</v>
      </c>
      <c r="DF3" s="41">
        <f t="shared" ca="1" si="4"/>
        <v>45833.458333333307</v>
      </c>
      <c r="DG3" s="41">
        <f t="shared" ca="1" si="4"/>
        <v>45833.499999999971</v>
      </c>
      <c r="DH3" s="41">
        <f t="shared" ca="1" si="4"/>
        <v>45833.541666666635</v>
      </c>
      <c r="DI3" s="41">
        <f t="shared" ca="1" si="4"/>
        <v>45833.583333333299</v>
      </c>
      <c r="DJ3" s="41">
        <f t="shared" ca="1" si="4"/>
        <v>45833.624999999964</v>
      </c>
      <c r="DK3" s="41">
        <f t="shared" ca="1" si="4"/>
        <v>45833.666666666628</v>
      </c>
      <c r="DL3" s="41">
        <f t="shared" ca="1" si="4"/>
        <v>45833.708333333292</v>
      </c>
      <c r="DM3" s="41">
        <f t="shared" ca="1" si="4"/>
        <v>45833.749999999956</v>
      </c>
      <c r="DN3" s="41">
        <f t="shared" ca="1" si="4"/>
        <v>45833.791666666621</v>
      </c>
      <c r="DO3" s="41">
        <f t="shared" ca="1" si="4"/>
        <v>45833.833333333285</v>
      </c>
      <c r="DP3" s="41">
        <f t="shared" ca="1" si="4"/>
        <v>45833.874999999949</v>
      </c>
      <c r="DQ3" s="41">
        <f t="shared" ca="1" si="4"/>
        <v>45833.916666666613</v>
      </c>
      <c r="DR3" s="41">
        <f t="shared" ca="1" si="4"/>
        <v>45833.958333333278</v>
      </c>
      <c r="DS3" s="41">
        <f ca="1">DS2</f>
        <v>45834</v>
      </c>
      <c r="DT3" s="41">
        <f t="shared" ref="DT3:EP3" ca="1" si="5">DS3 + 1/24</f>
        <v>45834.041666666664</v>
      </c>
      <c r="DU3" s="41">
        <f t="shared" ca="1" si="5"/>
        <v>45834.083333333328</v>
      </c>
      <c r="DV3" s="41">
        <f t="shared" ca="1" si="5"/>
        <v>45834.124999999993</v>
      </c>
      <c r="DW3" s="41">
        <f t="shared" ca="1" si="5"/>
        <v>45834.166666666657</v>
      </c>
      <c r="DX3" s="41">
        <f t="shared" ca="1" si="5"/>
        <v>45834.208333333321</v>
      </c>
      <c r="DY3" s="41">
        <f t="shared" ca="1" si="5"/>
        <v>45834.249999999985</v>
      </c>
      <c r="DZ3" s="41">
        <f t="shared" ca="1" si="5"/>
        <v>45834.29166666665</v>
      </c>
      <c r="EA3" s="41">
        <f t="shared" ca="1" si="5"/>
        <v>45834.333333333314</v>
      </c>
      <c r="EB3" s="41">
        <f t="shared" ca="1" si="5"/>
        <v>45834.374999999978</v>
      </c>
      <c r="EC3" s="41">
        <f t="shared" ca="1" si="5"/>
        <v>45834.416666666642</v>
      </c>
      <c r="ED3" s="41">
        <f t="shared" ca="1" si="5"/>
        <v>45834.458333333307</v>
      </c>
      <c r="EE3" s="41">
        <f t="shared" ca="1" si="5"/>
        <v>45834.499999999971</v>
      </c>
      <c r="EF3" s="41">
        <f t="shared" ca="1" si="5"/>
        <v>45834.541666666635</v>
      </c>
      <c r="EG3" s="41">
        <f t="shared" ca="1" si="5"/>
        <v>45834.583333333299</v>
      </c>
      <c r="EH3" s="41">
        <f t="shared" ca="1" si="5"/>
        <v>45834.624999999964</v>
      </c>
      <c r="EI3" s="41">
        <f t="shared" ca="1" si="5"/>
        <v>45834.666666666628</v>
      </c>
      <c r="EJ3" s="41">
        <f t="shared" ca="1" si="5"/>
        <v>45834.708333333292</v>
      </c>
      <c r="EK3" s="41">
        <f t="shared" ca="1" si="5"/>
        <v>45834.749999999956</v>
      </c>
      <c r="EL3" s="41">
        <f t="shared" ca="1" si="5"/>
        <v>45834.791666666621</v>
      </c>
      <c r="EM3" s="41">
        <f t="shared" ca="1" si="5"/>
        <v>45834.833333333285</v>
      </c>
      <c r="EN3" s="41">
        <f t="shared" ca="1" si="5"/>
        <v>45834.874999999949</v>
      </c>
      <c r="EO3" s="41">
        <f t="shared" ca="1" si="5"/>
        <v>45834.916666666613</v>
      </c>
      <c r="EP3" s="41">
        <f t="shared" ca="1" si="5"/>
        <v>45834.958333333278</v>
      </c>
      <c r="EQ3" s="41">
        <f ca="1">EQ2</f>
        <v>45835</v>
      </c>
      <c r="ER3" s="41">
        <f t="shared" ref="ER3:FN3" ca="1" si="6">EQ3 + 1/24</f>
        <v>45835.041666666664</v>
      </c>
      <c r="ES3" s="41">
        <f t="shared" ca="1" si="6"/>
        <v>45835.083333333328</v>
      </c>
      <c r="ET3" s="41">
        <f t="shared" ca="1" si="6"/>
        <v>45835.124999999993</v>
      </c>
      <c r="EU3" s="41">
        <f t="shared" ca="1" si="6"/>
        <v>45835.166666666657</v>
      </c>
      <c r="EV3" s="41">
        <f t="shared" ca="1" si="6"/>
        <v>45835.208333333321</v>
      </c>
      <c r="EW3" s="41">
        <f t="shared" ca="1" si="6"/>
        <v>45835.249999999985</v>
      </c>
      <c r="EX3" s="41">
        <f t="shared" ca="1" si="6"/>
        <v>45835.29166666665</v>
      </c>
      <c r="EY3" s="41">
        <f t="shared" ca="1" si="6"/>
        <v>45835.333333333314</v>
      </c>
      <c r="EZ3" s="41">
        <f t="shared" ca="1" si="6"/>
        <v>45835.374999999978</v>
      </c>
      <c r="FA3" s="41">
        <f t="shared" ca="1" si="6"/>
        <v>45835.416666666642</v>
      </c>
      <c r="FB3" s="41">
        <f t="shared" ca="1" si="6"/>
        <v>45835.458333333307</v>
      </c>
      <c r="FC3" s="41">
        <f t="shared" ca="1" si="6"/>
        <v>45835.499999999971</v>
      </c>
      <c r="FD3" s="41">
        <f t="shared" ca="1" si="6"/>
        <v>45835.541666666635</v>
      </c>
      <c r="FE3" s="41">
        <f t="shared" ca="1" si="6"/>
        <v>45835.583333333299</v>
      </c>
      <c r="FF3" s="41">
        <f t="shared" ca="1" si="6"/>
        <v>45835.624999999964</v>
      </c>
      <c r="FG3" s="41">
        <f t="shared" ca="1" si="6"/>
        <v>45835.666666666628</v>
      </c>
      <c r="FH3" s="41">
        <f t="shared" ca="1" si="6"/>
        <v>45835.708333333292</v>
      </c>
      <c r="FI3" s="41">
        <f t="shared" ca="1" si="6"/>
        <v>45835.749999999956</v>
      </c>
      <c r="FJ3" s="41">
        <f t="shared" ca="1" si="6"/>
        <v>45835.791666666621</v>
      </c>
      <c r="FK3" s="41">
        <f t="shared" ca="1" si="6"/>
        <v>45835.833333333285</v>
      </c>
      <c r="FL3" s="41">
        <f t="shared" ca="1" si="6"/>
        <v>45835.874999999949</v>
      </c>
      <c r="FM3" s="41">
        <f t="shared" ca="1" si="6"/>
        <v>45835.916666666613</v>
      </c>
      <c r="FN3" s="41">
        <f t="shared" ca="1" si="6"/>
        <v>45835.958333333278</v>
      </c>
      <c r="FO3" s="41">
        <f ca="1">FO2</f>
        <v>45838</v>
      </c>
      <c r="FP3" s="41">
        <f t="shared" ref="FP3:GL3" ca="1" si="7">FO3 + 1/24</f>
        <v>45838.041666666664</v>
      </c>
      <c r="FQ3" s="41">
        <f t="shared" ca="1" si="7"/>
        <v>45838.083333333328</v>
      </c>
      <c r="FR3" s="41">
        <f t="shared" ca="1" si="7"/>
        <v>45838.124999999993</v>
      </c>
      <c r="FS3" s="41">
        <f t="shared" ca="1" si="7"/>
        <v>45838.166666666657</v>
      </c>
      <c r="FT3" s="41">
        <f t="shared" ca="1" si="7"/>
        <v>45838.208333333321</v>
      </c>
      <c r="FU3" s="41">
        <f t="shared" ca="1" si="7"/>
        <v>45838.249999999985</v>
      </c>
      <c r="FV3" s="41">
        <f t="shared" ca="1" si="7"/>
        <v>45838.29166666665</v>
      </c>
      <c r="FW3" s="41">
        <f t="shared" ca="1" si="7"/>
        <v>45838.333333333314</v>
      </c>
      <c r="FX3" s="41">
        <f t="shared" ca="1" si="7"/>
        <v>45838.374999999978</v>
      </c>
      <c r="FY3" s="41">
        <f t="shared" ca="1" si="7"/>
        <v>45838.416666666642</v>
      </c>
      <c r="FZ3" s="41">
        <f t="shared" ca="1" si="7"/>
        <v>45838.458333333307</v>
      </c>
      <c r="GA3" s="41">
        <f t="shared" ca="1" si="7"/>
        <v>45838.499999999971</v>
      </c>
      <c r="GB3" s="41">
        <f t="shared" ca="1" si="7"/>
        <v>45838.541666666635</v>
      </c>
      <c r="GC3" s="41">
        <f t="shared" ca="1" si="7"/>
        <v>45838.583333333299</v>
      </c>
      <c r="GD3" s="41">
        <f t="shared" ca="1" si="7"/>
        <v>45838.624999999964</v>
      </c>
      <c r="GE3" s="41">
        <f t="shared" ca="1" si="7"/>
        <v>45838.666666666628</v>
      </c>
      <c r="GF3" s="41">
        <f t="shared" ca="1" si="7"/>
        <v>45838.708333333292</v>
      </c>
      <c r="GG3" s="41">
        <f t="shared" ca="1" si="7"/>
        <v>45838.749999999956</v>
      </c>
      <c r="GH3" s="41">
        <f t="shared" ca="1" si="7"/>
        <v>45838.791666666621</v>
      </c>
      <c r="GI3" s="41">
        <f t="shared" ca="1" si="7"/>
        <v>45838.833333333285</v>
      </c>
      <c r="GJ3" s="41">
        <f t="shared" ca="1" si="7"/>
        <v>45838.874999999949</v>
      </c>
      <c r="GK3" s="41">
        <f t="shared" ca="1" si="7"/>
        <v>45838.916666666613</v>
      </c>
      <c r="GL3" s="41">
        <f t="shared" ca="1" si="7"/>
        <v>45838.958333333278</v>
      </c>
      <c r="GM3" s="41">
        <f ca="1">GM2</f>
        <v>45839</v>
      </c>
      <c r="GN3" s="41">
        <f t="shared" ref="GN3:HJ3" ca="1" si="8">GM3 + 1/24</f>
        <v>45839.041666666664</v>
      </c>
      <c r="GO3" s="41">
        <f t="shared" ca="1" si="8"/>
        <v>45839.083333333328</v>
      </c>
      <c r="GP3" s="41">
        <f t="shared" ca="1" si="8"/>
        <v>45839.124999999993</v>
      </c>
      <c r="GQ3" s="41">
        <f t="shared" ca="1" si="8"/>
        <v>45839.166666666657</v>
      </c>
      <c r="GR3" s="41">
        <f t="shared" ca="1" si="8"/>
        <v>45839.208333333321</v>
      </c>
      <c r="GS3" s="41">
        <f t="shared" ca="1" si="8"/>
        <v>45839.249999999985</v>
      </c>
      <c r="GT3" s="41">
        <f t="shared" ca="1" si="8"/>
        <v>45839.29166666665</v>
      </c>
      <c r="GU3" s="41">
        <f t="shared" ca="1" si="8"/>
        <v>45839.333333333314</v>
      </c>
      <c r="GV3" s="41">
        <f t="shared" ca="1" si="8"/>
        <v>45839.374999999978</v>
      </c>
      <c r="GW3" s="41">
        <f t="shared" ca="1" si="8"/>
        <v>45839.416666666642</v>
      </c>
      <c r="GX3" s="41">
        <f t="shared" ca="1" si="8"/>
        <v>45839.458333333307</v>
      </c>
      <c r="GY3" s="41">
        <f t="shared" ca="1" si="8"/>
        <v>45839.499999999971</v>
      </c>
      <c r="GZ3" s="41">
        <f t="shared" ca="1" si="8"/>
        <v>45839.541666666635</v>
      </c>
      <c r="HA3" s="41">
        <f t="shared" ca="1" si="8"/>
        <v>45839.583333333299</v>
      </c>
      <c r="HB3" s="41">
        <f t="shared" ca="1" si="8"/>
        <v>45839.624999999964</v>
      </c>
      <c r="HC3" s="41">
        <f t="shared" ca="1" si="8"/>
        <v>45839.666666666628</v>
      </c>
      <c r="HD3" s="41">
        <f t="shared" ca="1" si="8"/>
        <v>45839.708333333292</v>
      </c>
      <c r="HE3" s="41">
        <f t="shared" ca="1" si="8"/>
        <v>45839.749999999956</v>
      </c>
      <c r="HF3" s="41">
        <f t="shared" ca="1" si="8"/>
        <v>45839.791666666621</v>
      </c>
      <c r="HG3" s="41">
        <f t="shared" ca="1" si="8"/>
        <v>45839.833333333285</v>
      </c>
      <c r="HH3" s="41">
        <f t="shared" ca="1" si="8"/>
        <v>45839.874999999949</v>
      </c>
      <c r="HI3" s="41">
        <f t="shared" ca="1" si="8"/>
        <v>45839.916666666613</v>
      </c>
      <c r="HJ3" s="41">
        <f t="shared" ca="1" si="8"/>
        <v>45839.958333333278</v>
      </c>
      <c r="HK3" s="41">
        <f ca="1">HK2</f>
        <v>45840</v>
      </c>
      <c r="HL3" s="41">
        <f t="shared" ref="HL3:IH3" ca="1" si="9">HK3 + 1/24</f>
        <v>45840.041666666664</v>
      </c>
      <c r="HM3" s="41">
        <f t="shared" ca="1" si="9"/>
        <v>45840.083333333328</v>
      </c>
      <c r="HN3" s="41">
        <f t="shared" ca="1" si="9"/>
        <v>45840.124999999993</v>
      </c>
      <c r="HO3" s="41">
        <f t="shared" ca="1" si="9"/>
        <v>45840.166666666657</v>
      </c>
      <c r="HP3" s="41">
        <f t="shared" ca="1" si="9"/>
        <v>45840.208333333321</v>
      </c>
      <c r="HQ3" s="41">
        <f t="shared" ca="1" si="9"/>
        <v>45840.249999999985</v>
      </c>
      <c r="HR3" s="41">
        <f t="shared" ca="1" si="9"/>
        <v>45840.29166666665</v>
      </c>
      <c r="HS3" s="41">
        <f t="shared" ca="1" si="9"/>
        <v>45840.333333333314</v>
      </c>
      <c r="HT3" s="41">
        <f t="shared" ca="1" si="9"/>
        <v>45840.374999999978</v>
      </c>
      <c r="HU3" s="41">
        <f t="shared" ca="1" si="9"/>
        <v>45840.416666666642</v>
      </c>
      <c r="HV3" s="41">
        <f t="shared" ca="1" si="9"/>
        <v>45840.458333333307</v>
      </c>
      <c r="HW3" s="41">
        <f t="shared" ca="1" si="9"/>
        <v>45840.499999999971</v>
      </c>
      <c r="HX3" s="41">
        <f t="shared" ca="1" si="9"/>
        <v>45840.541666666635</v>
      </c>
      <c r="HY3" s="41">
        <f t="shared" ca="1" si="9"/>
        <v>45840.583333333299</v>
      </c>
      <c r="HZ3" s="41">
        <f t="shared" ca="1" si="9"/>
        <v>45840.624999999964</v>
      </c>
      <c r="IA3" s="41">
        <f t="shared" ca="1" si="9"/>
        <v>45840.666666666628</v>
      </c>
      <c r="IB3" s="41">
        <f t="shared" ca="1" si="9"/>
        <v>45840.708333333292</v>
      </c>
      <c r="IC3" s="41">
        <f t="shared" ca="1" si="9"/>
        <v>45840.749999999956</v>
      </c>
      <c r="ID3" s="41">
        <f t="shared" ca="1" si="9"/>
        <v>45840.791666666621</v>
      </c>
      <c r="IE3" s="41">
        <f t="shared" ca="1" si="9"/>
        <v>45840.833333333285</v>
      </c>
      <c r="IF3" s="41">
        <f t="shared" ca="1" si="9"/>
        <v>45840.874999999949</v>
      </c>
      <c r="IG3" s="41">
        <f t="shared" ca="1" si="9"/>
        <v>45840.916666666613</v>
      </c>
      <c r="IH3" s="41">
        <f t="shared" ca="1" si="9"/>
        <v>45840.958333333278</v>
      </c>
      <c r="II3" s="41">
        <f ca="1">II2</f>
        <v>45841</v>
      </c>
      <c r="IJ3" s="41">
        <f t="shared" ref="IJ3:JF3" ca="1" si="10">II3 + 1/24</f>
        <v>45841.041666666664</v>
      </c>
      <c r="IK3" s="41">
        <f t="shared" ca="1" si="10"/>
        <v>45841.083333333328</v>
      </c>
      <c r="IL3" s="41">
        <f t="shared" ca="1" si="10"/>
        <v>45841.124999999993</v>
      </c>
      <c r="IM3" s="41">
        <f t="shared" ca="1" si="10"/>
        <v>45841.166666666657</v>
      </c>
      <c r="IN3" s="41">
        <f t="shared" ca="1" si="10"/>
        <v>45841.208333333321</v>
      </c>
      <c r="IO3" s="41">
        <f t="shared" ca="1" si="10"/>
        <v>45841.249999999985</v>
      </c>
      <c r="IP3" s="41">
        <f t="shared" ca="1" si="10"/>
        <v>45841.29166666665</v>
      </c>
      <c r="IQ3" s="41">
        <f t="shared" ca="1" si="10"/>
        <v>45841.333333333314</v>
      </c>
      <c r="IR3" s="41">
        <f t="shared" ca="1" si="10"/>
        <v>45841.374999999978</v>
      </c>
      <c r="IS3" s="41">
        <f t="shared" ca="1" si="10"/>
        <v>45841.416666666642</v>
      </c>
      <c r="IT3" s="41">
        <f t="shared" ca="1" si="10"/>
        <v>45841.458333333307</v>
      </c>
      <c r="IU3" s="41">
        <f t="shared" ca="1" si="10"/>
        <v>45841.499999999971</v>
      </c>
      <c r="IV3" s="41">
        <f t="shared" ca="1" si="10"/>
        <v>45841.541666666635</v>
      </c>
      <c r="IW3" s="41">
        <f t="shared" ca="1" si="10"/>
        <v>45841.583333333299</v>
      </c>
      <c r="IX3" s="41">
        <f t="shared" ca="1" si="10"/>
        <v>45841.624999999964</v>
      </c>
      <c r="IY3" s="41">
        <f t="shared" ca="1" si="10"/>
        <v>45841.666666666628</v>
      </c>
      <c r="IZ3" s="41">
        <f t="shared" ca="1" si="10"/>
        <v>45841.708333333292</v>
      </c>
      <c r="JA3" s="41">
        <f t="shared" ca="1" si="10"/>
        <v>45841.749999999956</v>
      </c>
      <c r="JB3" s="41">
        <f t="shared" ca="1" si="10"/>
        <v>45841.791666666621</v>
      </c>
      <c r="JC3" s="41">
        <f t="shared" ca="1" si="10"/>
        <v>45841.833333333285</v>
      </c>
      <c r="JD3" s="41">
        <f t="shared" ca="1" si="10"/>
        <v>45841.874999999949</v>
      </c>
      <c r="JE3" s="41">
        <f t="shared" ca="1" si="10"/>
        <v>45841.916666666613</v>
      </c>
      <c r="JF3" s="41">
        <f t="shared" ca="1" si="10"/>
        <v>45841.958333333278</v>
      </c>
      <c r="JG3" s="41">
        <f ca="1">JG2</f>
        <v>45842</v>
      </c>
      <c r="JH3" s="41">
        <f t="shared" ref="JH3:KD3" ca="1" si="11">JG3 + 1/24</f>
        <v>45842.041666666664</v>
      </c>
      <c r="JI3" s="41">
        <f t="shared" ca="1" si="11"/>
        <v>45842.083333333328</v>
      </c>
      <c r="JJ3" s="41">
        <f t="shared" ca="1" si="11"/>
        <v>45842.124999999993</v>
      </c>
      <c r="JK3" s="41">
        <f t="shared" ca="1" si="11"/>
        <v>45842.166666666657</v>
      </c>
      <c r="JL3" s="41">
        <f t="shared" ca="1" si="11"/>
        <v>45842.208333333321</v>
      </c>
      <c r="JM3" s="41">
        <f t="shared" ca="1" si="11"/>
        <v>45842.249999999985</v>
      </c>
      <c r="JN3" s="41">
        <f t="shared" ca="1" si="11"/>
        <v>45842.29166666665</v>
      </c>
      <c r="JO3" s="41">
        <f t="shared" ca="1" si="11"/>
        <v>45842.333333333314</v>
      </c>
      <c r="JP3" s="41">
        <f t="shared" ca="1" si="11"/>
        <v>45842.374999999978</v>
      </c>
      <c r="JQ3" s="41">
        <f t="shared" ca="1" si="11"/>
        <v>45842.416666666642</v>
      </c>
      <c r="JR3" s="41">
        <f t="shared" ca="1" si="11"/>
        <v>45842.458333333307</v>
      </c>
      <c r="JS3" s="41">
        <f t="shared" ca="1" si="11"/>
        <v>45842.499999999971</v>
      </c>
      <c r="JT3" s="41">
        <f t="shared" ca="1" si="11"/>
        <v>45842.541666666635</v>
      </c>
      <c r="JU3" s="41">
        <f t="shared" ca="1" si="11"/>
        <v>45842.583333333299</v>
      </c>
      <c r="JV3" s="41">
        <f t="shared" ca="1" si="11"/>
        <v>45842.624999999964</v>
      </c>
      <c r="JW3" s="41">
        <f t="shared" ca="1" si="11"/>
        <v>45842.666666666628</v>
      </c>
      <c r="JX3" s="41">
        <f t="shared" ca="1" si="11"/>
        <v>45842.708333333292</v>
      </c>
      <c r="JY3" s="41">
        <f t="shared" ca="1" si="11"/>
        <v>45842.749999999956</v>
      </c>
      <c r="JZ3" s="41">
        <f t="shared" ca="1" si="11"/>
        <v>45842.791666666621</v>
      </c>
      <c r="KA3" s="41">
        <f t="shared" ca="1" si="11"/>
        <v>45842.833333333285</v>
      </c>
      <c r="KB3" s="41">
        <f t="shared" ca="1" si="11"/>
        <v>45842.874999999949</v>
      </c>
      <c r="KC3" s="41">
        <f t="shared" ca="1" si="11"/>
        <v>45842.916666666613</v>
      </c>
      <c r="KD3" s="41">
        <f t="shared" ca="1" si="11"/>
        <v>45842.958333333278</v>
      </c>
      <c r="KE3" s="41">
        <f ca="1">KE2</f>
        <v>45845</v>
      </c>
      <c r="KF3" s="41">
        <f t="shared" ref="KF3:LB3" ca="1" si="12">KE3 + 1/24</f>
        <v>45845.041666666664</v>
      </c>
      <c r="KG3" s="41">
        <f t="shared" ca="1" si="12"/>
        <v>45845.083333333328</v>
      </c>
      <c r="KH3" s="41">
        <f t="shared" ca="1" si="12"/>
        <v>45845.124999999993</v>
      </c>
      <c r="KI3" s="41">
        <f t="shared" ca="1" si="12"/>
        <v>45845.166666666657</v>
      </c>
      <c r="KJ3" s="41">
        <f t="shared" ca="1" si="12"/>
        <v>45845.208333333321</v>
      </c>
      <c r="KK3" s="41">
        <f t="shared" ca="1" si="12"/>
        <v>45845.249999999985</v>
      </c>
      <c r="KL3" s="41">
        <f t="shared" ca="1" si="12"/>
        <v>45845.29166666665</v>
      </c>
      <c r="KM3" s="41">
        <f t="shared" ca="1" si="12"/>
        <v>45845.333333333314</v>
      </c>
      <c r="KN3" s="41">
        <f t="shared" ca="1" si="12"/>
        <v>45845.374999999978</v>
      </c>
      <c r="KO3" s="41">
        <f t="shared" ca="1" si="12"/>
        <v>45845.416666666642</v>
      </c>
      <c r="KP3" s="41">
        <f t="shared" ca="1" si="12"/>
        <v>45845.458333333307</v>
      </c>
      <c r="KQ3" s="41">
        <f t="shared" ca="1" si="12"/>
        <v>45845.499999999971</v>
      </c>
      <c r="KR3" s="41">
        <f t="shared" ca="1" si="12"/>
        <v>45845.541666666635</v>
      </c>
      <c r="KS3" s="41">
        <f t="shared" ca="1" si="12"/>
        <v>45845.583333333299</v>
      </c>
      <c r="KT3" s="41">
        <f t="shared" ca="1" si="12"/>
        <v>45845.624999999964</v>
      </c>
      <c r="KU3" s="41">
        <f t="shared" ca="1" si="12"/>
        <v>45845.666666666628</v>
      </c>
      <c r="KV3" s="41">
        <f t="shared" ca="1" si="12"/>
        <v>45845.708333333292</v>
      </c>
      <c r="KW3" s="41">
        <f t="shared" ca="1" si="12"/>
        <v>45845.749999999956</v>
      </c>
      <c r="KX3" s="41">
        <f t="shared" ca="1" si="12"/>
        <v>45845.791666666621</v>
      </c>
      <c r="KY3" s="41">
        <f t="shared" ca="1" si="12"/>
        <v>45845.833333333285</v>
      </c>
      <c r="KZ3" s="41">
        <f t="shared" ca="1" si="12"/>
        <v>45845.874999999949</v>
      </c>
      <c r="LA3" s="41">
        <f t="shared" ca="1" si="12"/>
        <v>45845.916666666613</v>
      </c>
      <c r="LB3" s="41">
        <f t="shared" ca="1" si="12"/>
        <v>45845.958333333278</v>
      </c>
      <c r="LC3" s="41">
        <f ca="1">LC2</f>
        <v>45846</v>
      </c>
      <c r="LD3" s="41">
        <f t="shared" ref="LD3:LZ3" ca="1" si="13">LC3 + 1/24</f>
        <v>45846.041666666664</v>
      </c>
      <c r="LE3" s="41">
        <f t="shared" ca="1" si="13"/>
        <v>45846.083333333328</v>
      </c>
      <c r="LF3" s="41">
        <f t="shared" ca="1" si="13"/>
        <v>45846.124999999993</v>
      </c>
      <c r="LG3" s="41">
        <f t="shared" ca="1" si="13"/>
        <v>45846.166666666657</v>
      </c>
      <c r="LH3" s="41">
        <f t="shared" ca="1" si="13"/>
        <v>45846.208333333321</v>
      </c>
      <c r="LI3" s="41">
        <f t="shared" ca="1" si="13"/>
        <v>45846.249999999985</v>
      </c>
      <c r="LJ3" s="41">
        <f t="shared" ca="1" si="13"/>
        <v>45846.29166666665</v>
      </c>
      <c r="LK3" s="41">
        <f t="shared" ca="1" si="13"/>
        <v>45846.333333333314</v>
      </c>
      <c r="LL3" s="41">
        <f t="shared" ca="1" si="13"/>
        <v>45846.374999999978</v>
      </c>
      <c r="LM3" s="41">
        <f t="shared" ca="1" si="13"/>
        <v>45846.416666666642</v>
      </c>
      <c r="LN3" s="41">
        <f t="shared" ca="1" si="13"/>
        <v>45846.458333333307</v>
      </c>
      <c r="LO3" s="41">
        <f t="shared" ca="1" si="13"/>
        <v>45846.499999999971</v>
      </c>
      <c r="LP3" s="41">
        <f t="shared" ca="1" si="13"/>
        <v>45846.541666666635</v>
      </c>
      <c r="LQ3" s="41">
        <f t="shared" ca="1" si="13"/>
        <v>45846.583333333299</v>
      </c>
      <c r="LR3" s="41">
        <f t="shared" ca="1" si="13"/>
        <v>45846.624999999964</v>
      </c>
      <c r="LS3" s="41">
        <f t="shared" ca="1" si="13"/>
        <v>45846.666666666628</v>
      </c>
      <c r="LT3" s="41">
        <f t="shared" ca="1" si="13"/>
        <v>45846.708333333292</v>
      </c>
      <c r="LU3" s="41">
        <f t="shared" ca="1" si="13"/>
        <v>45846.749999999956</v>
      </c>
      <c r="LV3" s="41">
        <f t="shared" ca="1" si="13"/>
        <v>45846.791666666621</v>
      </c>
      <c r="LW3" s="41">
        <f t="shared" ca="1" si="13"/>
        <v>45846.833333333285</v>
      </c>
      <c r="LX3" s="41">
        <f t="shared" ca="1" si="13"/>
        <v>45846.874999999949</v>
      </c>
      <c r="LY3" s="41">
        <f t="shared" ca="1" si="13"/>
        <v>45846.916666666613</v>
      </c>
      <c r="LZ3" s="41">
        <f t="shared" ca="1" si="13"/>
        <v>45846.958333333278</v>
      </c>
      <c r="MA3" s="41">
        <f ca="1">MA2</f>
        <v>45847</v>
      </c>
      <c r="MB3" s="41">
        <f t="shared" ref="MB3:MX3" ca="1" si="14">MA3 + 1/24</f>
        <v>45847.041666666664</v>
      </c>
      <c r="MC3" s="41">
        <f t="shared" ca="1" si="14"/>
        <v>45847.083333333328</v>
      </c>
      <c r="MD3" s="41">
        <f t="shared" ca="1" si="14"/>
        <v>45847.124999999993</v>
      </c>
      <c r="ME3" s="41">
        <f t="shared" ca="1" si="14"/>
        <v>45847.166666666657</v>
      </c>
      <c r="MF3" s="41">
        <f t="shared" ca="1" si="14"/>
        <v>45847.208333333321</v>
      </c>
      <c r="MG3" s="41">
        <f t="shared" ca="1" si="14"/>
        <v>45847.249999999985</v>
      </c>
      <c r="MH3" s="41">
        <f t="shared" ca="1" si="14"/>
        <v>45847.29166666665</v>
      </c>
      <c r="MI3" s="41">
        <f t="shared" ca="1" si="14"/>
        <v>45847.333333333314</v>
      </c>
      <c r="MJ3" s="41">
        <f t="shared" ca="1" si="14"/>
        <v>45847.374999999978</v>
      </c>
      <c r="MK3" s="41">
        <f t="shared" ca="1" si="14"/>
        <v>45847.416666666642</v>
      </c>
      <c r="ML3" s="41">
        <f t="shared" ca="1" si="14"/>
        <v>45847.458333333307</v>
      </c>
      <c r="MM3" s="41">
        <f t="shared" ca="1" si="14"/>
        <v>45847.499999999971</v>
      </c>
      <c r="MN3" s="41">
        <f t="shared" ca="1" si="14"/>
        <v>45847.541666666635</v>
      </c>
      <c r="MO3" s="41">
        <f t="shared" ca="1" si="14"/>
        <v>45847.583333333299</v>
      </c>
      <c r="MP3" s="41">
        <f t="shared" ca="1" si="14"/>
        <v>45847.624999999964</v>
      </c>
      <c r="MQ3" s="41">
        <f t="shared" ca="1" si="14"/>
        <v>45847.666666666628</v>
      </c>
      <c r="MR3" s="41">
        <f t="shared" ca="1" si="14"/>
        <v>45847.708333333292</v>
      </c>
      <c r="MS3" s="41">
        <f t="shared" ca="1" si="14"/>
        <v>45847.749999999956</v>
      </c>
      <c r="MT3" s="41">
        <f t="shared" ca="1" si="14"/>
        <v>45847.791666666621</v>
      </c>
      <c r="MU3" s="41">
        <f t="shared" ca="1" si="14"/>
        <v>45847.833333333285</v>
      </c>
      <c r="MV3" s="41">
        <f t="shared" ca="1" si="14"/>
        <v>45847.874999999949</v>
      </c>
      <c r="MW3" s="41">
        <f t="shared" ca="1" si="14"/>
        <v>45847.916666666613</v>
      </c>
      <c r="MX3" s="41">
        <f t="shared" ca="1" si="14"/>
        <v>45847.958333333278</v>
      </c>
      <c r="MY3" s="41">
        <f ca="1">MY2</f>
        <v>45848</v>
      </c>
      <c r="MZ3" s="41">
        <f t="shared" ref="MZ3:NV3" ca="1" si="15">MY3 + 1/24</f>
        <v>45848.041666666664</v>
      </c>
      <c r="NA3" s="41">
        <f t="shared" ca="1" si="15"/>
        <v>45848.083333333328</v>
      </c>
      <c r="NB3" s="41">
        <f t="shared" ca="1" si="15"/>
        <v>45848.124999999993</v>
      </c>
      <c r="NC3" s="41">
        <f t="shared" ca="1" si="15"/>
        <v>45848.166666666657</v>
      </c>
      <c r="ND3" s="41">
        <f t="shared" ca="1" si="15"/>
        <v>45848.208333333321</v>
      </c>
      <c r="NE3" s="41">
        <f t="shared" ca="1" si="15"/>
        <v>45848.249999999985</v>
      </c>
      <c r="NF3" s="41">
        <f t="shared" ca="1" si="15"/>
        <v>45848.29166666665</v>
      </c>
      <c r="NG3" s="41">
        <f t="shared" ca="1" si="15"/>
        <v>45848.333333333314</v>
      </c>
      <c r="NH3" s="41">
        <f t="shared" ca="1" si="15"/>
        <v>45848.374999999978</v>
      </c>
      <c r="NI3" s="41">
        <f t="shared" ca="1" si="15"/>
        <v>45848.416666666642</v>
      </c>
      <c r="NJ3" s="41">
        <f t="shared" ca="1" si="15"/>
        <v>45848.458333333307</v>
      </c>
      <c r="NK3" s="41">
        <f t="shared" ca="1" si="15"/>
        <v>45848.499999999971</v>
      </c>
      <c r="NL3" s="41">
        <f t="shared" ca="1" si="15"/>
        <v>45848.541666666635</v>
      </c>
      <c r="NM3" s="41">
        <f t="shared" ca="1" si="15"/>
        <v>45848.583333333299</v>
      </c>
      <c r="NN3" s="41">
        <f t="shared" ca="1" si="15"/>
        <v>45848.624999999964</v>
      </c>
      <c r="NO3" s="41">
        <f t="shared" ca="1" si="15"/>
        <v>45848.666666666628</v>
      </c>
      <c r="NP3" s="41">
        <f t="shared" ca="1" si="15"/>
        <v>45848.708333333292</v>
      </c>
      <c r="NQ3" s="41">
        <f t="shared" ca="1" si="15"/>
        <v>45848.749999999956</v>
      </c>
      <c r="NR3" s="41">
        <f t="shared" ca="1" si="15"/>
        <v>45848.791666666621</v>
      </c>
      <c r="NS3" s="41">
        <f t="shared" ca="1" si="15"/>
        <v>45848.833333333285</v>
      </c>
      <c r="NT3" s="41">
        <f t="shared" ca="1" si="15"/>
        <v>45848.874999999949</v>
      </c>
      <c r="NU3" s="41">
        <f t="shared" ca="1" si="15"/>
        <v>45848.916666666613</v>
      </c>
      <c r="NV3" s="41">
        <f t="shared" ca="1" si="15"/>
        <v>45848.958333333278</v>
      </c>
      <c r="NW3" s="41">
        <f ca="1">NW2</f>
        <v>45849</v>
      </c>
      <c r="NX3" s="41">
        <f t="shared" ref="NX3:OT3" ca="1" si="16">NW3 + 1/24</f>
        <v>45849.041666666664</v>
      </c>
      <c r="NY3" s="41">
        <f t="shared" ca="1" si="16"/>
        <v>45849.083333333328</v>
      </c>
      <c r="NZ3" s="41">
        <f t="shared" ca="1" si="16"/>
        <v>45849.124999999993</v>
      </c>
      <c r="OA3" s="41">
        <f t="shared" ca="1" si="16"/>
        <v>45849.166666666657</v>
      </c>
      <c r="OB3" s="41">
        <f t="shared" ca="1" si="16"/>
        <v>45849.208333333321</v>
      </c>
      <c r="OC3" s="41">
        <f t="shared" ca="1" si="16"/>
        <v>45849.249999999985</v>
      </c>
      <c r="OD3" s="41">
        <f t="shared" ca="1" si="16"/>
        <v>45849.29166666665</v>
      </c>
      <c r="OE3" s="41">
        <f t="shared" ca="1" si="16"/>
        <v>45849.333333333314</v>
      </c>
      <c r="OF3" s="41">
        <f t="shared" ca="1" si="16"/>
        <v>45849.374999999978</v>
      </c>
      <c r="OG3" s="41">
        <f t="shared" ca="1" si="16"/>
        <v>45849.416666666642</v>
      </c>
      <c r="OH3" s="41">
        <f t="shared" ca="1" si="16"/>
        <v>45849.458333333307</v>
      </c>
      <c r="OI3" s="41">
        <f t="shared" ca="1" si="16"/>
        <v>45849.499999999971</v>
      </c>
      <c r="OJ3" s="41">
        <f t="shared" ca="1" si="16"/>
        <v>45849.541666666635</v>
      </c>
      <c r="OK3" s="41">
        <f t="shared" ca="1" si="16"/>
        <v>45849.583333333299</v>
      </c>
      <c r="OL3" s="41">
        <f t="shared" ca="1" si="16"/>
        <v>45849.624999999964</v>
      </c>
      <c r="OM3" s="41">
        <f t="shared" ca="1" si="16"/>
        <v>45849.666666666628</v>
      </c>
      <c r="ON3" s="41">
        <f t="shared" ca="1" si="16"/>
        <v>45849.708333333292</v>
      </c>
      <c r="OO3" s="41">
        <f t="shared" ca="1" si="16"/>
        <v>45849.749999999956</v>
      </c>
      <c r="OP3" s="41">
        <f t="shared" ca="1" si="16"/>
        <v>45849.791666666621</v>
      </c>
      <c r="OQ3" s="41">
        <f t="shared" ca="1" si="16"/>
        <v>45849.833333333285</v>
      </c>
      <c r="OR3" s="41">
        <f t="shared" ca="1" si="16"/>
        <v>45849.874999999949</v>
      </c>
      <c r="OS3" s="41">
        <f t="shared" ca="1" si="16"/>
        <v>45849.916666666613</v>
      </c>
      <c r="OT3" s="41">
        <f t="shared" ca="1" si="16"/>
        <v>45849.958333333278</v>
      </c>
      <c r="OU3" s="41">
        <f ca="1">OU2</f>
        <v>45852</v>
      </c>
      <c r="OV3" s="41">
        <f t="shared" ref="OV3:PR3" ca="1" si="17">OU3 + 1/24</f>
        <v>45852.041666666664</v>
      </c>
      <c r="OW3" s="41">
        <f t="shared" ca="1" si="17"/>
        <v>45852.083333333328</v>
      </c>
      <c r="OX3" s="41">
        <f t="shared" ca="1" si="17"/>
        <v>45852.124999999993</v>
      </c>
      <c r="OY3" s="41">
        <f t="shared" ca="1" si="17"/>
        <v>45852.166666666657</v>
      </c>
      <c r="OZ3" s="41">
        <f t="shared" ca="1" si="17"/>
        <v>45852.208333333321</v>
      </c>
      <c r="PA3" s="41">
        <f t="shared" ca="1" si="17"/>
        <v>45852.249999999985</v>
      </c>
      <c r="PB3" s="41">
        <f t="shared" ca="1" si="17"/>
        <v>45852.29166666665</v>
      </c>
      <c r="PC3" s="41">
        <f t="shared" ca="1" si="17"/>
        <v>45852.333333333314</v>
      </c>
      <c r="PD3" s="41">
        <f t="shared" ca="1" si="17"/>
        <v>45852.374999999978</v>
      </c>
      <c r="PE3" s="41">
        <f t="shared" ca="1" si="17"/>
        <v>45852.416666666642</v>
      </c>
      <c r="PF3" s="41">
        <f t="shared" ca="1" si="17"/>
        <v>45852.458333333307</v>
      </c>
      <c r="PG3" s="41">
        <f t="shared" ca="1" si="17"/>
        <v>45852.499999999971</v>
      </c>
      <c r="PH3" s="41">
        <f t="shared" ca="1" si="17"/>
        <v>45852.541666666635</v>
      </c>
      <c r="PI3" s="41">
        <f t="shared" ca="1" si="17"/>
        <v>45852.583333333299</v>
      </c>
      <c r="PJ3" s="41">
        <f t="shared" ca="1" si="17"/>
        <v>45852.624999999964</v>
      </c>
      <c r="PK3" s="41">
        <f t="shared" ca="1" si="17"/>
        <v>45852.666666666628</v>
      </c>
      <c r="PL3" s="41">
        <f t="shared" ca="1" si="17"/>
        <v>45852.708333333292</v>
      </c>
      <c r="PM3" s="41">
        <f t="shared" ca="1" si="17"/>
        <v>45852.749999999956</v>
      </c>
      <c r="PN3" s="41">
        <f t="shared" ca="1" si="17"/>
        <v>45852.791666666621</v>
      </c>
      <c r="PO3" s="41">
        <f t="shared" ca="1" si="17"/>
        <v>45852.833333333285</v>
      </c>
      <c r="PP3" s="41">
        <f t="shared" ca="1" si="17"/>
        <v>45852.874999999949</v>
      </c>
      <c r="PQ3" s="41">
        <f t="shared" ca="1" si="17"/>
        <v>45852.916666666613</v>
      </c>
      <c r="PR3" s="41">
        <f t="shared" ca="1" si="17"/>
        <v>45852.958333333278</v>
      </c>
      <c r="PS3" s="41">
        <f ca="1">PS2</f>
        <v>45853</v>
      </c>
      <c r="PT3" s="41">
        <f t="shared" ref="PT3:QP3" ca="1" si="18">PS3 + 1/24</f>
        <v>45853.041666666664</v>
      </c>
      <c r="PU3" s="41">
        <f t="shared" ca="1" si="18"/>
        <v>45853.083333333328</v>
      </c>
      <c r="PV3" s="41">
        <f t="shared" ca="1" si="18"/>
        <v>45853.124999999993</v>
      </c>
      <c r="PW3" s="41">
        <f t="shared" ca="1" si="18"/>
        <v>45853.166666666657</v>
      </c>
      <c r="PX3" s="41">
        <f t="shared" ca="1" si="18"/>
        <v>45853.208333333321</v>
      </c>
      <c r="PY3" s="41">
        <f t="shared" ca="1" si="18"/>
        <v>45853.249999999985</v>
      </c>
      <c r="PZ3" s="41">
        <f t="shared" ca="1" si="18"/>
        <v>45853.29166666665</v>
      </c>
      <c r="QA3" s="41">
        <f t="shared" ca="1" si="18"/>
        <v>45853.333333333314</v>
      </c>
      <c r="QB3" s="41">
        <f t="shared" ca="1" si="18"/>
        <v>45853.374999999978</v>
      </c>
      <c r="QC3" s="41">
        <f t="shared" ca="1" si="18"/>
        <v>45853.416666666642</v>
      </c>
      <c r="QD3" s="41">
        <f t="shared" ca="1" si="18"/>
        <v>45853.458333333307</v>
      </c>
      <c r="QE3" s="41">
        <f t="shared" ca="1" si="18"/>
        <v>45853.499999999971</v>
      </c>
      <c r="QF3" s="41">
        <f t="shared" ca="1" si="18"/>
        <v>45853.541666666635</v>
      </c>
      <c r="QG3" s="41">
        <f t="shared" ca="1" si="18"/>
        <v>45853.583333333299</v>
      </c>
      <c r="QH3" s="41">
        <f t="shared" ca="1" si="18"/>
        <v>45853.624999999964</v>
      </c>
      <c r="QI3" s="41">
        <f t="shared" ca="1" si="18"/>
        <v>45853.666666666628</v>
      </c>
      <c r="QJ3" s="41">
        <f t="shared" ca="1" si="18"/>
        <v>45853.708333333292</v>
      </c>
      <c r="QK3" s="41">
        <f t="shared" ca="1" si="18"/>
        <v>45853.749999999956</v>
      </c>
      <c r="QL3" s="41">
        <f t="shared" ca="1" si="18"/>
        <v>45853.791666666621</v>
      </c>
      <c r="QM3" s="41">
        <f t="shared" ca="1" si="18"/>
        <v>45853.833333333285</v>
      </c>
      <c r="QN3" s="41">
        <f t="shared" ca="1" si="18"/>
        <v>45853.874999999949</v>
      </c>
      <c r="QO3" s="41">
        <f t="shared" ca="1" si="18"/>
        <v>45853.916666666613</v>
      </c>
      <c r="QP3" s="41">
        <f t="shared" ca="1" si="18"/>
        <v>45853.958333333278</v>
      </c>
      <c r="QQ3" s="41">
        <f ca="1">QQ2</f>
        <v>45854</v>
      </c>
      <c r="QR3" s="41">
        <f t="shared" ref="QR3:RN3" ca="1" si="19">QQ3 + 1/24</f>
        <v>45854.041666666664</v>
      </c>
      <c r="QS3" s="41">
        <f t="shared" ca="1" si="19"/>
        <v>45854.083333333328</v>
      </c>
      <c r="QT3" s="41">
        <f t="shared" ca="1" si="19"/>
        <v>45854.124999999993</v>
      </c>
      <c r="QU3" s="41">
        <f t="shared" ca="1" si="19"/>
        <v>45854.166666666657</v>
      </c>
      <c r="QV3" s="41">
        <f t="shared" ca="1" si="19"/>
        <v>45854.208333333321</v>
      </c>
      <c r="QW3" s="41">
        <f t="shared" ca="1" si="19"/>
        <v>45854.249999999985</v>
      </c>
      <c r="QX3" s="41">
        <f t="shared" ca="1" si="19"/>
        <v>45854.29166666665</v>
      </c>
      <c r="QY3" s="41">
        <f t="shared" ca="1" si="19"/>
        <v>45854.333333333314</v>
      </c>
      <c r="QZ3" s="41">
        <f t="shared" ca="1" si="19"/>
        <v>45854.374999999978</v>
      </c>
      <c r="RA3" s="41">
        <f t="shared" ca="1" si="19"/>
        <v>45854.416666666642</v>
      </c>
      <c r="RB3" s="41">
        <f t="shared" ca="1" si="19"/>
        <v>45854.458333333307</v>
      </c>
      <c r="RC3" s="41">
        <f t="shared" ca="1" si="19"/>
        <v>45854.499999999971</v>
      </c>
      <c r="RD3" s="41">
        <f t="shared" ca="1" si="19"/>
        <v>45854.541666666635</v>
      </c>
      <c r="RE3" s="41">
        <f t="shared" ca="1" si="19"/>
        <v>45854.583333333299</v>
      </c>
      <c r="RF3" s="41">
        <f t="shared" ca="1" si="19"/>
        <v>45854.624999999964</v>
      </c>
      <c r="RG3" s="41">
        <f t="shared" ca="1" si="19"/>
        <v>45854.666666666628</v>
      </c>
      <c r="RH3" s="41">
        <f t="shared" ca="1" si="19"/>
        <v>45854.708333333292</v>
      </c>
      <c r="RI3" s="41">
        <f t="shared" ca="1" si="19"/>
        <v>45854.749999999956</v>
      </c>
      <c r="RJ3" s="41">
        <f t="shared" ca="1" si="19"/>
        <v>45854.791666666621</v>
      </c>
      <c r="RK3" s="41">
        <f t="shared" ca="1" si="19"/>
        <v>45854.833333333285</v>
      </c>
      <c r="RL3" s="41">
        <f t="shared" ca="1" si="19"/>
        <v>45854.874999999949</v>
      </c>
      <c r="RM3" s="41">
        <f t="shared" ca="1" si="19"/>
        <v>45854.916666666613</v>
      </c>
      <c r="RN3" s="41">
        <f t="shared" ca="1" si="19"/>
        <v>45854.958333333278</v>
      </c>
      <c r="RO3" s="41">
        <f ca="1">RO2</f>
        <v>45855</v>
      </c>
      <c r="RP3" s="41">
        <f t="shared" ref="RP3:SL3" ca="1" si="20">RO3 + 1/24</f>
        <v>45855.041666666664</v>
      </c>
      <c r="RQ3" s="41">
        <f t="shared" ca="1" si="20"/>
        <v>45855.083333333328</v>
      </c>
      <c r="RR3" s="41">
        <f t="shared" ca="1" si="20"/>
        <v>45855.124999999993</v>
      </c>
      <c r="RS3" s="41">
        <f t="shared" ca="1" si="20"/>
        <v>45855.166666666657</v>
      </c>
      <c r="RT3" s="41">
        <f t="shared" ca="1" si="20"/>
        <v>45855.208333333321</v>
      </c>
      <c r="RU3" s="41">
        <f t="shared" ca="1" si="20"/>
        <v>45855.249999999985</v>
      </c>
      <c r="RV3" s="41">
        <f t="shared" ca="1" si="20"/>
        <v>45855.29166666665</v>
      </c>
      <c r="RW3" s="41">
        <f t="shared" ca="1" si="20"/>
        <v>45855.333333333314</v>
      </c>
      <c r="RX3" s="41">
        <f t="shared" ca="1" si="20"/>
        <v>45855.374999999978</v>
      </c>
      <c r="RY3" s="41">
        <f t="shared" ca="1" si="20"/>
        <v>45855.416666666642</v>
      </c>
      <c r="RZ3" s="41">
        <f t="shared" ca="1" si="20"/>
        <v>45855.458333333307</v>
      </c>
      <c r="SA3" s="41">
        <f t="shared" ca="1" si="20"/>
        <v>45855.499999999971</v>
      </c>
      <c r="SB3" s="41">
        <f t="shared" ca="1" si="20"/>
        <v>45855.541666666635</v>
      </c>
      <c r="SC3" s="41">
        <f t="shared" ca="1" si="20"/>
        <v>45855.583333333299</v>
      </c>
      <c r="SD3" s="41">
        <f t="shared" ca="1" si="20"/>
        <v>45855.624999999964</v>
      </c>
      <c r="SE3" s="41">
        <f t="shared" ca="1" si="20"/>
        <v>45855.666666666628</v>
      </c>
      <c r="SF3" s="41">
        <f t="shared" ca="1" si="20"/>
        <v>45855.708333333292</v>
      </c>
      <c r="SG3" s="41">
        <f t="shared" ca="1" si="20"/>
        <v>45855.749999999956</v>
      </c>
      <c r="SH3" s="41">
        <f t="shared" ca="1" si="20"/>
        <v>45855.791666666621</v>
      </c>
      <c r="SI3" s="41">
        <f t="shared" ca="1" si="20"/>
        <v>45855.833333333285</v>
      </c>
      <c r="SJ3" s="41">
        <f t="shared" ca="1" si="20"/>
        <v>45855.874999999949</v>
      </c>
      <c r="SK3" s="41">
        <f t="shared" ca="1" si="20"/>
        <v>45855.916666666613</v>
      </c>
      <c r="SL3" s="41">
        <f t="shared" ca="1" si="20"/>
        <v>45855.958333333278</v>
      </c>
      <c r="SM3" s="41">
        <f ca="1">SM2</f>
        <v>45856</v>
      </c>
      <c r="SN3" s="41">
        <f t="shared" ref="SN3:TJ3" ca="1" si="21">SM3 + 1/24</f>
        <v>45856.041666666664</v>
      </c>
      <c r="SO3" s="41">
        <f t="shared" ca="1" si="21"/>
        <v>45856.083333333328</v>
      </c>
      <c r="SP3" s="41">
        <f t="shared" ca="1" si="21"/>
        <v>45856.124999999993</v>
      </c>
      <c r="SQ3" s="41">
        <f t="shared" ca="1" si="21"/>
        <v>45856.166666666657</v>
      </c>
      <c r="SR3" s="41">
        <f t="shared" ca="1" si="21"/>
        <v>45856.208333333321</v>
      </c>
      <c r="SS3" s="41">
        <f t="shared" ca="1" si="21"/>
        <v>45856.249999999985</v>
      </c>
      <c r="ST3" s="41">
        <f t="shared" ca="1" si="21"/>
        <v>45856.29166666665</v>
      </c>
      <c r="SU3" s="41">
        <f t="shared" ca="1" si="21"/>
        <v>45856.333333333314</v>
      </c>
      <c r="SV3" s="41">
        <f t="shared" ca="1" si="21"/>
        <v>45856.374999999978</v>
      </c>
      <c r="SW3" s="41">
        <f t="shared" ca="1" si="21"/>
        <v>45856.416666666642</v>
      </c>
      <c r="SX3" s="41">
        <f t="shared" ca="1" si="21"/>
        <v>45856.458333333307</v>
      </c>
      <c r="SY3" s="41">
        <f t="shared" ca="1" si="21"/>
        <v>45856.499999999971</v>
      </c>
      <c r="SZ3" s="41">
        <f t="shared" ca="1" si="21"/>
        <v>45856.541666666635</v>
      </c>
      <c r="TA3" s="41">
        <f t="shared" ca="1" si="21"/>
        <v>45856.583333333299</v>
      </c>
      <c r="TB3" s="41">
        <f t="shared" ca="1" si="21"/>
        <v>45856.624999999964</v>
      </c>
      <c r="TC3" s="41">
        <f t="shared" ca="1" si="21"/>
        <v>45856.666666666628</v>
      </c>
      <c r="TD3" s="41">
        <f t="shared" ca="1" si="21"/>
        <v>45856.708333333292</v>
      </c>
      <c r="TE3" s="41">
        <f t="shared" ca="1" si="21"/>
        <v>45856.749999999956</v>
      </c>
      <c r="TF3" s="41">
        <f t="shared" ca="1" si="21"/>
        <v>45856.791666666621</v>
      </c>
      <c r="TG3" s="41">
        <f t="shared" ca="1" si="21"/>
        <v>45856.833333333285</v>
      </c>
      <c r="TH3" s="41">
        <f t="shared" ca="1" si="21"/>
        <v>45856.874999999949</v>
      </c>
      <c r="TI3" s="41">
        <f t="shared" ca="1" si="21"/>
        <v>45856.916666666613</v>
      </c>
      <c r="TJ3" s="41">
        <f t="shared" ca="1" si="21"/>
        <v>45856.958333333278</v>
      </c>
      <c r="TK3" s="41">
        <f ca="1">TK2</f>
        <v>45859</v>
      </c>
      <c r="TL3" s="41">
        <f t="shared" ref="TL3:UH3" ca="1" si="22">TK3 + 1/24</f>
        <v>45859.041666666664</v>
      </c>
      <c r="TM3" s="41">
        <f t="shared" ca="1" si="22"/>
        <v>45859.083333333328</v>
      </c>
      <c r="TN3" s="41">
        <f t="shared" ca="1" si="22"/>
        <v>45859.124999999993</v>
      </c>
      <c r="TO3" s="41">
        <f t="shared" ca="1" si="22"/>
        <v>45859.166666666657</v>
      </c>
      <c r="TP3" s="41">
        <f t="shared" ca="1" si="22"/>
        <v>45859.208333333321</v>
      </c>
      <c r="TQ3" s="41">
        <f t="shared" ca="1" si="22"/>
        <v>45859.249999999985</v>
      </c>
      <c r="TR3" s="41">
        <f t="shared" ca="1" si="22"/>
        <v>45859.29166666665</v>
      </c>
      <c r="TS3" s="41">
        <f t="shared" ca="1" si="22"/>
        <v>45859.333333333314</v>
      </c>
      <c r="TT3" s="41">
        <f t="shared" ca="1" si="22"/>
        <v>45859.374999999978</v>
      </c>
      <c r="TU3" s="41">
        <f t="shared" ca="1" si="22"/>
        <v>45859.416666666642</v>
      </c>
      <c r="TV3" s="41">
        <f t="shared" ca="1" si="22"/>
        <v>45859.458333333307</v>
      </c>
      <c r="TW3" s="41">
        <f t="shared" ca="1" si="22"/>
        <v>45859.499999999971</v>
      </c>
      <c r="TX3" s="41">
        <f t="shared" ca="1" si="22"/>
        <v>45859.541666666635</v>
      </c>
      <c r="TY3" s="41">
        <f t="shared" ca="1" si="22"/>
        <v>45859.583333333299</v>
      </c>
      <c r="TZ3" s="41">
        <f t="shared" ca="1" si="22"/>
        <v>45859.624999999964</v>
      </c>
      <c r="UA3" s="41">
        <f t="shared" ca="1" si="22"/>
        <v>45859.666666666628</v>
      </c>
      <c r="UB3" s="41">
        <f t="shared" ca="1" si="22"/>
        <v>45859.708333333292</v>
      </c>
      <c r="UC3" s="41">
        <f t="shared" ca="1" si="22"/>
        <v>45859.749999999956</v>
      </c>
      <c r="UD3" s="41">
        <f t="shared" ca="1" si="22"/>
        <v>45859.791666666621</v>
      </c>
      <c r="UE3" s="41">
        <f t="shared" ca="1" si="22"/>
        <v>45859.833333333285</v>
      </c>
      <c r="UF3" s="41">
        <f t="shared" ca="1" si="22"/>
        <v>45859.874999999949</v>
      </c>
      <c r="UG3" s="41">
        <f t="shared" ca="1" si="22"/>
        <v>45859.916666666613</v>
      </c>
      <c r="UH3" s="41">
        <f t="shared" ca="1" si="22"/>
        <v>45859.958333333278</v>
      </c>
      <c r="UI3" s="41">
        <f ca="1">UI2</f>
        <v>45860</v>
      </c>
      <c r="UJ3" s="41">
        <f t="shared" ref="UJ3:VF3" ca="1" si="23">UI3 + 1/24</f>
        <v>45860.041666666664</v>
      </c>
      <c r="UK3" s="41">
        <f t="shared" ca="1" si="23"/>
        <v>45860.083333333328</v>
      </c>
      <c r="UL3" s="41">
        <f t="shared" ca="1" si="23"/>
        <v>45860.124999999993</v>
      </c>
      <c r="UM3" s="41">
        <f t="shared" ca="1" si="23"/>
        <v>45860.166666666657</v>
      </c>
      <c r="UN3" s="41">
        <f t="shared" ca="1" si="23"/>
        <v>45860.208333333321</v>
      </c>
      <c r="UO3" s="41">
        <f t="shared" ca="1" si="23"/>
        <v>45860.249999999985</v>
      </c>
      <c r="UP3" s="41">
        <f t="shared" ca="1" si="23"/>
        <v>45860.29166666665</v>
      </c>
      <c r="UQ3" s="41">
        <f t="shared" ca="1" si="23"/>
        <v>45860.333333333314</v>
      </c>
      <c r="UR3" s="41">
        <f t="shared" ca="1" si="23"/>
        <v>45860.374999999978</v>
      </c>
      <c r="US3" s="41">
        <f t="shared" ca="1" si="23"/>
        <v>45860.416666666642</v>
      </c>
      <c r="UT3" s="41">
        <f t="shared" ca="1" si="23"/>
        <v>45860.458333333307</v>
      </c>
      <c r="UU3" s="41">
        <f t="shared" ca="1" si="23"/>
        <v>45860.499999999971</v>
      </c>
      <c r="UV3" s="41">
        <f t="shared" ca="1" si="23"/>
        <v>45860.541666666635</v>
      </c>
      <c r="UW3" s="41">
        <f t="shared" ca="1" si="23"/>
        <v>45860.583333333299</v>
      </c>
      <c r="UX3" s="41">
        <f t="shared" ca="1" si="23"/>
        <v>45860.624999999964</v>
      </c>
      <c r="UY3" s="41">
        <f t="shared" ca="1" si="23"/>
        <v>45860.666666666628</v>
      </c>
      <c r="UZ3" s="41">
        <f t="shared" ca="1" si="23"/>
        <v>45860.708333333292</v>
      </c>
      <c r="VA3" s="41">
        <f t="shared" ca="1" si="23"/>
        <v>45860.749999999956</v>
      </c>
      <c r="VB3" s="41">
        <f t="shared" ca="1" si="23"/>
        <v>45860.791666666621</v>
      </c>
      <c r="VC3" s="41">
        <f t="shared" ca="1" si="23"/>
        <v>45860.833333333285</v>
      </c>
      <c r="VD3" s="41">
        <f t="shared" ca="1" si="23"/>
        <v>45860.874999999949</v>
      </c>
      <c r="VE3" s="41">
        <f t="shared" ca="1" si="23"/>
        <v>45860.916666666613</v>
      </c>
      <c r="VF3" s="41">
        <f t="shared" ca="1" si="23"/>
        <v>45860.958333333278</v>
      </c>
      <c r="VG3" s="41">
        <f ca="1">VG2</f>
        <v>45861</v>
      </c>
      <c r="VH3" s="41">
        <f t="shared" ref="VH3:WD3" ca="1" si="24">VG3 + 1/24</f>
        <v>45861.041666666664</v>
      </c>
      <c r="VI3" s="41">
        <f t="shared" ca="1" si="24"/>
        <v>45861.083333333328</v>
      </c>
      <c r="VJ3" s="41">
        <f t="shared" ca="1" si="24"/>
        <v>45861.124999999993</v>
      </c>
      <c r="VK3" s="41">
        <f t="shared" ca="1" si="24"/>
        <v>45861.166666666657</v>
      </c>
      <c r="VL3" s="41">
        <f t="shared" ca="1" si="24"/>
        <v>45861.208333333321</v>
      </c>
      <c r="VM3" s="41">
        <f t="shared" ca="1" si="24"/>
        <v>45861.249999999985</v>
      </c>
      <c r="VN3" s="41">
        <f t="shared" ca="1" si="24"/>
        <v>45861.29166666665</v>
      </c>
      <c r="VO3" s="41">
        <f t="shared" ca="1" si="24"/>
        <v>45861.333333333314</v>
      </c>
      <c r="VP3" s="41">
        <f t="shared" ca="1" si="24"/>
        <v>45861.374999999978</v>
      </c>
      <c r="VQ3" s="41">
        <f t="shared" ca="1" si="24"/>
        <v>45861.416666666642</v>
      </c>
      <c r="VR3" s="41">
        <f t="shared" ca="1" si="24"/>
        <v>45861.458333333307</v>
      </c>
      <c r="VS3" s="41">
        <f t="shared" ca="1" si="24"/>
        <v>45861.499999999971</v>
      </c>
      <c r="VT3" s="41">
        <f t="shared" ca="1" si="24"/>
        <v>45861.541666666635</v>
      </c>
      <c r="VU3" s="41">
        <f t="shared" ca="1" si="24"/>
        <v>45861.583333333299</v>
      </c>
      <c r="VV3" s="41">
        <f t="shared" ca="1" si="24"/>
        <v>45861.624999999964</v>
      </c>
      <c r="VW3" s="41">
        <f t="shared" ca="1" si="24"/>
        <v>45861.666666666628</v>
      </c>
      <c r="VX3" s="41">
        <f t="shared" ca="1" si="24"/>
        <v>45861.708333333292</v>
      </c>
      <c r="VY3" s="41">
        <f t="shared" ca="1" si="24"/>
        <v>45861.749999999956</v>
      </c>
      <c r="VZ3" s="41">
        <f t="shared" ca="1" si="24"/>
        <v>45861.791666666621</v>
      </c>
      <c r="WA3" s="41">
        <f t="shared" ca="1" si="24"/>
        <v>45861.833333333285</v>
      </c>
      <c r="WB3" s="41">
        <f t="shared" ca="1" si="24"/>
        <v>45861.874999999949</v>
      </c>
      <c r="WC3" s="41">
        <f t="shared" ca="1" si="24"/>
        <v>45861.916666666613</v>
      </c>
      <c r="WD3" s="41">
        <f t="shared" ca="1" si="24"/>
        <v>45861.958333333278</v>
      </c>
      <c r="WE3" s="41">
        <f ca="1">WE2</f>
        <v>45862</v>
      </c>
      <c r="WF3" s="41">
        <f t="shared" ref="WF3:XB3" ca="1" si="25">WE3 + 1/24</f>
        <v>45862.041666666664</v>
      </c>
      <c r="WG3" s="41">
        <f t="shared" ca="1" si="25"/>
        <v>45862.083333333328</v>
      </c>
      <c r="WH3" s="41">
        <f t="shared" ca="1" si="25"/>
        <v>45862.124999999993</v>
      </c>
      <c r="WI3" s="41">
        <f t="shared" ca="1" si="25"/>
        <v>45862.166666666657</v>
      </c>
      <c r="WJ3" s="41">
        <f t="shared" ca="1" si="25"/>
        <v>45862.208333333321</v>
      </c>
      <c r="WK3" s="41">
        <f t="shared" ca="1" si="25"/>
        <v>45862.249999999985</v>
      </c>
      <c r="WL3" s="41">
        <f t="shared" ca="1" si="25"/>
        <v>45862.29166666665</v>
      </c>
      <c r="WM3" s="41">
        <f t="shared" ca="1" si="25"/>
        <v>45862.333333333314</v>
      </c>
      <c r="WN3" s="41">
        <f t="shared" ca="1" si="25"/>
        <v>45862.374999999978</v>
      </c>
      <c r="WO3" s="41">
        <f t="shared" ca="1" si="25"/>
        <v>45862.416666666642</v>
      </c>
      <c r="WP3" s="41">
        <f t="shared" ca="1" si="25"/>
        <v>45862.458333333307</v>
      </c>
      <c r="WQ3" s="41">
        <f t="shared" ca="1" si="25"/>
        <v>45862.499999999971</v>
      </c>
      <c r="WR3" s="41">
        <f t="shared" ca="1" si="25"/>
        <v>45862.541666666635</v>
      </c>
      <c r="WS3" s="41">
        <f t="shared" ca="1" si="25"/>
        <v>45862.583333333299</v>
      </c>
      <c r="WT3" s="41">
        <f t="shared" ca="1" si="25"/>
        <v>45862.624999999964</v>
      </c>
      <c r="WU3" s="41">
        <f t="shared" ca="1" si="25"/>
        <v>45862.666666666628</v>
      </c>
      <c r="WV3" s="41">
        <f t="shared" ca="1" si="25"/>
        <v>45862.708333333292</v>
      </c>
      <c r="WW3" s="41">
        <f t="shared" ca="1" si="25"/>
        <v>45862.749999999956</v>
      </c>
      <c r="WX3" s="41">
        <f t="shared" ca="1" si="25"/>
        <v>45862.791666666621</v>
      </c>
      <c r="WY3" s="41">
        <f t="shared" ca="1" si="25"/>
        <v>45862.833333333285</v>
      </c>
      <c r="WZ3" s="41">
        <f t="shared" ca="1" si="25"/>
        <v>45862.874999999949</v>
      </c>
      <c r="XA3" s="41">
        <f t="shared" ca="1" si="25"/>
        <v>45862.916666666613</v>
      </c>
      <c r="XB3" s="41">
        <f t="shared" ca="1" si="25"/>
        <v>45862.958333333278</v>
      </c>
      <c r="XC3" s="41">
        <f ca="1">XC2</f>
        <v>45863</v>
      </c>
      <c r="XD3" s="41">
        <f t="shared" ref="XD3:XZ3" ca="1" si="26">XC3 + 1/24</f>
        <v>45863.041666666664</v>
      </c>
      <c r="XE3" s="41">
        <f t="shared" ca="1" si="26"/>
        <v>45863.083333333328</v>
      </c>
      <c r="XF3" s="41">
        <f t="shared" ca="1" si="26"/>
        <v>45863.124999999993</v>
      </c>
      <c r="XG3" s="41">
        <f t="shared" ca="1" si="26"/>
        <v>45863.166666666657</v>
      </c>
      <c r="XH3" s="41">
        <f t="shared" ca="1" si="26"/>
        <v>45863.208333333321</v>
      </c>
      <c r="XI3" s="41">
        <f t="shared" ca="1" si="26"/>
        <v>45863.249999999985</v>
      </c>
      <c r="XJ3" s="41">
        <f t="shared" ca="1" si="26"/>
        <v>45863.29166666665</v>
      </c>
      <c r="XK3" s="41">
        <f t="shared" ca="1" si="26"/>
        <v>45863.333333333314</v>
      </c>
      <c r="XL3" s="41">
        <f t="shared" ca="1" si="26"/>
        <v>45863.374999999978</v>
      </c>
      <c r="XM3" s="41">
        <f t="shared" ca="1" si="26"/>
        <v>45863.416666666642</v>
      </c>
      <c r="XN3" s="41">
        <f t="shared" ca="1" si="26"/>
        <v>45863.458333333307</v>
      </c>
      <c r="XO3" s="41">
        <f t="shared" ca="1" si="26"/>
        <v>45863.499999999971</v>
      </c>
      <c r="XP3" s="41">
        <f t="shared" ca="1" si="26"/>
        <v>45863.541666666635</v>
      </c>
      <c r="XQ3" s="41">
        <f t="shared" ca="1" si="26"/>
        <v>45863.583333333299</v>
      </c>
      <c r="XR3" s="41">
        <f t="shared" ca="1" si="26"/>
        <v>45863.624999999964</v>
      </c>
      <c r="XS3" s="41">
        <f t="shared" ca="1" si="26"/>
        <v>45863.666666666628</v>
      </c>
      <c r="XT3" s="41">
        <f t="shared" ca="1" si="26"/>
        <v>45863.708333333292</v>
      </c>
      <c r="XU3" s="41">
        <f t="shared" ca="1" si="26"/>
        <v>45863.749999999956</v>
      </c>
      <c r="XV3" s="41">
        <f t="shared" ca="1" si="26"/>
        <v>45863.791666666621</v>
      </c>
      <c r="XW3" s="41">
        <f t="shared" ca="1" si="26"/>
        <v>45863.833333333285</v>
      </c>
      <c r="XX3" s="41">
        <f t="shared" ca="1" si="26"/>
        <v>45863.874999999949</v>
      </c>
      <c r="XY3" s="41">
        <f t="shared" ca="1" si="26"/>
        <v>45863.916666666613</v>
      </c>
      <c r="XZ3" s="41">
        <f t="shared" ca="1" si="26"/>
        <v>45863.958333333278</v>
      </c>
      <c r="YA3" s="41">
        <f ca="1">YA2</f>
        <v>45866</v>
      </c>
      <c r="YB3" s="41">
        <f t="shared" ref="YB3:YX3" ca="1" si="27">YA3 + 1/24</f>
        <v>45866.041666666664</v>
      </c>
      <c r="YC3" s="41">
        <f t="shared" ca="1" si="27"/>
        <v>45866.083333333328</v>
      </c>
      <c r="YD3" s="41">
        <f t="shared" ca="1" si="27"/>
        <v>45866.124999999993</v>
      </c>
      <c r="YE3" s="41">
        <f t="shared" ca="1" si="27"/>
        <v>45866.166666666657</v>
      </c>
      <c r="YF3" s="41">
        <f t="shared" ca="1" si="27"/>
        <v>45866.208333333321</v>
      </c>
      <c r="YG3" s="41">
        <f t="shared" ca="1" si="27"/>
        <v>45866.249999999985</v>
      </c>
      <c r="YH3" s="41">
        <f t="shared" ca="1" si="27"/>
        <v>45866.29166666665</v>
      </c>
      <c r="YI3" s="41">
        <f t="shared" ca="1" si="27"/>
        <v>45866.333333333314</v>
      </c>
      <c r="YJ3" s="41">
        <f t="shared" ca="1" si="27"/>
        <v>45866.374999999978</v>
      </c>
      <c r="YK3" s="41">
        <f t="shared" ca="1" si="27"/>
        <v>45866.416666666642</v>
      </c>
      <c r="YL3" s="41">
        <f t="shared" ca="1" si="27"/>
        <v>45866.458333333307</v>
      </c>
      <c r="YM3" s="41">
        <f t="shared" ca="1" si="27"/>
        <v>45866.499999999971</v>
      </c>
      <c r="YN3" s="41">
        <f t="shared" ca="1" si="27"/>
        <v>45866.541666666635</v>
      </c>
      <c r="YO3" s="41">
        <f t="shared" ca="1" si="27"/>
        <v>45866.583333333299</v>
      </c>
      <c r="YP3" s="41">
        <f t="shared" ca="1" si="27"/>
        <v>45866.624999999964</v>
      </c>
      <c r="YQ3" s="41">
        <f t="shared" ca="1" si="27"/>
        <v>45866.666666666628</v>
      </c>
      <c r="YR3" s="41">
        <f t="shared" ca="1" si="27"/>
        <v>45866.708333333292</v>
      </c>
      <c r="YS3" s="41">
        <f t="shared" ca="1" si="27"/>
        <v>45866.749999999956</v>
      </c>
      <c r="YT3" s="41">
        <f t="shared" ca="1" si="27"/>
        <v>45866.791666666621</v>
      </c>
      <c r="YU3" s="41">
        <f t="shared" ca="1" si="27"/>
        <v>45866.833333333285</v>
      </c>
      <c r="YV3" s="41">
        <f t="shared" ca="1" si="27"/>
        <v>45866.874999999949</v>
      </c>
      <c r="YW3" s="41">
        <f t="shared" ca="1" si="27"/>
        <v>45866.916666666613</v>
      </c>
      <c r="YX3" s="41">
        <f t="shared" ca="1" si="27"/>
        <v>45866.958333333278</v>
      </c>
      <c r="YY3" s="41">
        <f ca="1">YY2</f>
        <v>45867</v>
      </c>
      <c r="YZ3" s="41">
        <f t="shared" ref="YZ3:ZV3" ca="1" si="28">YY3 + 1/24</f>
        <v>45867.041666666664</v>
      </c>
      <c r="ZA3" s="41">
        <f t="shared" ca="1" si="28"/>
        <v>45867.083333333328</v>
      </c>
      <c r="ZB3" s="41">
        <f t="shared" ca="1" si="28"/>
        <v>45867.124999999993</v>
      </c>
      <c r="ZC3" s="41">
        <f t="shared" ca="1" si="28"/>
        <v>45867.166666666657</v>
      </c>
      <c r="ZD3" s="41">
        <f t="shared" ca="1" si="28"/>
        <v>45867.208333333321</v>
      </c>
      <c r="ZE3" s="41">
        <f t="shared" ca="1" si="28"/>
        <v>45867.249999999985</v>
      </c>
      <c r="ZF3" s="41">
        <f t="shared" ca="1" si="28"/>
        <v>45867.29166666665</v>
      </c>
      <c r="ZG3" s="41">
        <f t="shared" ca="1" si="28"/>
        <v>45867.333333333314</v>
      </c>
      <c r="ZH3" s="41">
        <f t="shared" ca="1" si="28"/>
        <v>45867.374999999978</v>
      </c>
      <c r="ZI3" s="41">
        <f t="shared" ca="1" si="28"/>
        <v>45867.416666666642</v>
      </c>
      <c r="ZJ3" s="41">
        <f t="shared" ca="1" si="28"/>
        <v>45867.458333333307</v>
      </c>
      <c r="ZK3" s="41">
        <f t="shared" ca="1" si="28"/>
        <v>45867.499999999971</v>
      </c>
      <c r="ZL3" s="41">
        <f t="shared" ca="1" si="28"/>
        <v>45867.541666666635</v>
      </c>
      <c r="ZM3" s="41">
        <f t="shared" ca="1" si="28"/>
        <v>45867.583333333299</v>
      </c>
      <c r="ZN3" s="41">
        <f t="shared" ca="1" si="28"/>
        <v>45867.624999999964</v>
      </c>
      <c r="ZO3" s="41">
        <f t="shared" ca="1" si="28"/>
        <v>45867.666666666628</v>
      </c>
      <c r="ZP3" s="41">
        <f t="shared" ca="1" si="28"/>
        <v>45867.708333333292</v>
      </c>
      <c r="ZQ3" s="41">
        <f t="shared" ca="1" si="28"/>
        <v>45867.749999999956</v>
      </c>
      <c r="ZR3" s="41">
        <f t="shared" ca="1" si="28"/>
        <v>45867.791666666621</v>
      </c>
      <c r="ZS3" s="41">
        <f t="shared" ca="1" si="28"/>
        <v>45867.833333333285</v>
      </c>
      <c r="ZT3" s="41">
        <f t="shared" ca="1" si="28"/>
        <v>45867.874999999949</v>
      </c>
      <c r="ZU3" s="41">
        <f t="shared" ca="1" si="28"/>
        <v>45867.916666666613</v>
      </c>
      <c r="ZV3" s="41">
        <f t="shared" ca="1" si="28"/>
        <v>45867.958333333278</v>
      </c>
      <c r="ZW3" s="41">
        <f ca="1">ZW2</f>
        <v>45868</v>
      </c>
      <c r="ZX3" s="41">
        <f t="shared" ref="ZX3:AAT3" ca="1" si="29">ZW3 + 1/24</f>
        <v>45868.041666666664</v>
      </c>
      <c r="ZY3" s="41">
        <f t="shared" ca="1" si="29"/>
        <v>45868.083333333328</v>
      </c>
      <c r="ZZ3" s="41">
        <f t="shared" ca="1" si="29"/>
        <v>45868.124999999993</v>
      </c>
      <c r="AAA3" s="41">
        <f t="shared" ca="1" si="29"/>
        <v>45868.166666666657</v>
      </c>
      <c r="AAB3" s="41">
        <f t="shared" ca="1" si="29"/>
        <v>45868.208333333321</v>
      </c>
      <c r="AAC3" s="41">
        <f t="shared" ca="1" si="29"/>
        <v>45868.249999999985</v>
      </c>
      <c r="AAD3" s="41">
        <f t="shared" ca="1" si="29"/>
        <v>45868.29166666665</v>
      </c>
      <c r="AAE3" s="41">
        <f t="shared" ca="1" si="29"/>
        <v>45868.333333333314</v>
      </c>
      <c r="AAF3" s="41">
        <f t="shared" ca="1" si="29"/>
        <v>45868.374999999978</v>
      </c>
      <c r="AAG3" s="41">
        <f t="shared" ca="1" si="29"/>
        <v>45868.416666666642</v>
      </c>
      <c r="AAH3" s="41">
        <f t="shared" ca="1" si="29"/>
        <v>45868.458333333307</v>
      </c>
      <c r="AAI3" s="41">
        <f t="shared" ca="1" si="29"/>
        <v>45868.499999999971</v>
      </c>
      <c r="AAJ3" s="41">
        <f t="shared" ca="1" si="29"/>
        <v>45868.541666666635</v>
      </c>
      <c r="AAK3" s="41">
        <f t="shared" ca="1" si="29"/>
        <v>45868.583333333299</v>
      </c>
      <c r="AAL3" s="41">
        <f t="shared" ca="1" si="29"/>
        <v>45868.624999999964</v>
      </c>
      <c r="AAM3" s="41">
        <f t="shared" ca="1" si="29"/>
        <v>45868.666666666628</v>
      </c>
      <c r="AAN3" s="41">
        <f t="shared" ca="1" si="29"/>
        <v>45868.708333333292</v>
      </c>
      <c r="AAO3" s="41">
        <f t="shared" ca="1" si="29"/>
        <v>45868.749999999956</v>
      </c>
      <c r="AAP3" s="41">
        <f t="shared" ca="1" si="29"/>
        <v>45868.791666666621</v>
      </c>
      <c r="AAQ3" s="41">
        <f t="shared" ca="1" si="29"/>
        <v>45868.833333333285</v>
      </c>
      <c r="AAR3" s="41">
        <f t="shared" ca="1" si="29"/>
        <v>45868.874999999949</v>
      </c>
      <c r="AAS3" s="41">
        <f t="shared" ca="1" si="29"/>
        <v>45868.916666666613</v>
      </c>
      <c r="AAT3" s="41">
        <f t="shared" ca="1" si="29"/>
        <v>45868.958333333278</v>
      </c>
      <c r="AAU3" s="41">
        <f ca="1">AAU2</f>
        <v>45869</v>
      </c>
      <c r="AAV3" s="41">
        <f t="shared" ref="AAV3:ABR3" ca="1" si="30">AAU3 + 1/24</f>
        <v>45869.041666666664</v>
      </c>
      <c r="AAW3" s="41">
        <f t="shared" ca="1" si="30"/>
        <v>45869.083333333328</v>
      </c>
      <c r="AAX3" s="41">
        <f t="shared" ca="1" si="30"/>
        <v>45869.124999999993</v>
      </c>
      <c r="AAY3" s="41">
        <f t="shared" ca="1" si="30"/>
        <v>45869.166666666657</v>
      </c>
      <c r="AAZ3" s="41">
        <f t="shared" ca="1" si="30"/>
        <v>45869.208333333321</v>
      </c>
      <c r="ABA3" s="41">
        <f t="shared" ca="1" si="30"/>
        <v>45869.249999999985</v>
      </c>
      <c r="ABB3" s="41">
        <f t="shared" ca="1" si="30"/>
        <v>45869.29166666665</v>
      </c>
      <c r="ABC3" s="41">
        <f t="shared" ca="1" si="30"/>
        <v>45869.333333333314</v>
      </c>
      <c r="ABD3" s="41">
        <f t="shared" ca="1" si="30"/>
        <v>45869.374999999978</v>
      </c>
      <c r="ABE3" s="41">
        <f t="shared" ca="1" si="30"/>
        <v>45869.416666666642</v>
      </c>
      <c r="ABF3" s="41">
        <f t="shared" ca="1" si="30"/>
        <v>45869.458333333307</v>
      </c>
      <c r="ABG3" s="41">
        <f t="shared" ca="1" si="30"/>
        <v>45869.499999999971</v>
      </c>
      <c r="ABH3" s="41">
        <f t="shared" ca="1" si="30"/>
        <v>45869.541666666635</v>
      </c>
      <c r="ABI3" s="41">
        <f t="shared" ca="1" si="30"/>
        <v>45869.583333333299</v>
      </c>
      <c r="ABJ3" s="41">
        <f t="shared" ca="1" si="30"/>
        <v>45869.624999999964</v>
      </c>
      <c r="ABK3" s="41">
        <f t="shared" ca="1" si="30"/>
        <v>45869.666666666628</v>
      </c>
      <c r="ABL3" s="41">
        <f t="shared" ca="1" si="30"/>
        <v>45869.708333333292</v>
      </c>
      <c r="ABM3" s="41">
        <f t="shared" ca="1" si="30"/>
        <v>45869.749999999956</v>
      </c>
      <c r="ABN3" s="41">
        <f t="shared" ca="1" si="30"/>
        <v>45869.791666666621</v>
      </c>
      <c r="ABO3" s="41">
        <f t="shared" ca="1" si="30"/>
        <v>45869.833333333285</v>
      </c>
      <c r="ABP3" s="41">
        <f t="shared" ca="1" si="30"/>
        <v>45869.874999999949</v>
      </c>
      <c r="ABQ3" s="41">
        <f t="shared" ca="1" si="30"/>
        <v>45869.916666666613</v>
      </c>
      <c r="ABR3" s="41">
        <f t="shared" ca="1" si="30"/>
        <v>45869.958333333278</v>
      </c>
      <c r="ABS3" s="41">
        <f ca="1">ABS2</f>
        <v>45870</v>
      </c>
      <c r="ABT3" s="41">
        <f t="shared" ref="ABT3:ACP3" ca="1" si="31">ABS3 + 1/24</f>
        <v>45870.041666666664</v>
      </c>
      <c r="ABU3" s="41">
        <f t="shared" ca="1" si="31"/>
        <v>45870.083333333328</v>
      </c>
      <c r="ABV3" s="41">
        <f t="shared" ca="1" si="31"/>
        <v>45870.124999999993</v>
      </c>
      <c r="ABW3" s="41">
        <f t="shared" ca="1" si="31"/>
        <v>45870.166666666657</v>
      </c>
      <c r="ABX3" s="41">
        <f t="shared" ca="1" si="31"/>
        <v>45870.208333333321</v>
      </c>
      <c r="ABY3" s="41">
        <f t="shared" ca="1" si="31"/>
        <v>45870.249999999985</v>
      </c>
      <c r="ABZ3" s="41">
        <f t="shared" ca="1" si="31"/>
        <v>45870.29166666665</v>
      </c>
      <c r="ACA3" s="41">
        <f t="shared" ca="1" si="31"/>
        <v>45870.333333333314</v>
      </c>
      <c r="ACB3" s="41">
        <f t="shared" ca="1" si="31"/>
        <v>45870.374999999978</v>
      </c>
      <c r="ACC3" s="41">
        <f t="shared" ca="1" si="31"/>
        <v>45870.416666666642</v>
      </c>
      <c r="ACD3" s="41">
        <f t="shared" ca="1" si="31"/>
        <v>45870.458333333307</v>
      </c>
      <c r="ACE3" s="41">
        <f t="shared" ca="1" si="31"/>
        <v>45870.499999999971</v>
      </c>
      <c r="ACF3" s="41">
        <f t="shared" ca="1" si="31"/>
        <v>45870.541666666635</v>
      </c>
      <c r="ACG3" s="41">
        <f t="shared" ca="1" si="31"/>
        <v>45870.583333333299</v>
      </c>
      <c r="ACH3" s="41">
        <f t="shared" ca="1" si="31"/>
        <v>45870.624999999964</v>
      </c>
      <c r="ACI3" s="41">
        <f t="shared" ca="1" si="31"/>
        <v>45870.666666666628</v>
      </c>
      <c r="ACJ3" s="41">
        <f t="shared" ca="1" si="31"/>
        <v>45870.708333333292</v>
      </c>
      <c r="ACK3" s="41">
        <f t="shared" ca="1" si="31"/>
        <v>45870.749999999956</v>
      </c>
      <c r="ACL3" s="41">
        <f t="shared" ca="1" si="31"/>
        <v>45870.791666666621</v>
      </c>
      <c r="ACM3" s="41">
        <f t="shared" ca="1" si="31"/>
        <v>45870.833333333285</v>
      </c>
      <c r="ACN3" s="41">
        <f t="shared" ca="1" si="31"/>
        <v>45870.874999999949</v>
      </c>
      <c r="ACO3" s="41">
        <f t="shared" ca="1" si="31"/>
        <v>45870.916666666613</v>
      </c>
      <c r="ACP3" s="41">
        <f t="shared" ca="1" si="31"/>
        <v>45870.958333333278</v>
      </c>
      <c r="ACQ3" s="41">
        <f ca="1">ACQ2</f>
        <v>45873</v>
      </c>
      <c r="ACR3" s="41">
        <f t="shared" ref="ACR3:ADN3" ca="1" si="32">ACQ3 + 1/24</f>
        <v>45873.041666666664</v>
      </c>
      <c r="ACS3" s="41">
        <f t="shared" ca="1" si="32"/>
        <v>45873.083333333328</v>
      </c>
      <c r="ACT3" s="41">
        <f t="shared" ca="1" si="32"/>
        <v>45873.124999999993</v>
      </c>
      <c r="ACU3" s="41">
        <f t="shared" ca="1" si="32"/>
        <v>45873.166666666657</v>
      </c>
      <c r="ACV3" s="41">
        <f t="shared" ca="1" si="32"/>
        <v>45873.208333333321</v>
      </c>
      <c r="ACW3" s="41">
        <f t="shared" ca="1" si="32"/>
        <v>45873.249999999985</v>
      </c>
      <c r="ACX3" s="41">
        <f t="shared" ca="1" si="32"/>
        <v>45873.29166666665</v>
      </c>
      <c r="ACY3" s="41">
        <f t="shared" ca="1" si="32"/>
        <v>45873.333333333314</v>
      </c>
      <c r="ACZ3" s="41">
        <f t="shared" ca="1" si="32"/>
        <v>45873.374999999978</v>
      </c>
      <c r="ADA3" s="41">
        <f t="shared" ca="1" si="32"/>
        <v>45873.416666666642</v>
      </c>
      <c r="ADB3" s="41">
        <f t="shared" ca="1" si="32"/>
        <v>45873.458333333307</v>
      </c>
      <c r="ADC3" s="41">
        <f t="shared" ca="1" si="32"/>
        <v>45873.499999999971</v>
      </c>
      <c r="ADD3" s="41">
        <f t="shared" ca="1" si="32"/>
        <v>45873.541666666635</v>
      </c>
      <c r="ADE3" s="41">
        <f t="shared" ca="1" si="32"/>
        <v>45873.583333333299</v>
      </c>
      <c r="ADF3" s="41">
        <f t="shared" ca="1" si="32"/>
        <v>45873.624999999964</v>
      </c>
      <c r="ADG3" s="41">
        <f t="shared" ca="1" si="32"/>
        <v>45873.666666666628</v>
      </c>
      <c r="ADH3" s="41">
        <f t="shared" ca="1" si="32"/>
        <v>45873.708333333292</v>
      </c>
      <c r="ADI3" s="41">
        <f t="shared" ca="1" si="32"/>
        <v>45873.749999999956</v>
      </c>
      <c r="ADJ3" s="41">
        <f t="shared" ca="1" si="32"/>
        <v>45873.791666666621</v>
      </c>
      <c r="ADK3" s="41">
        <f t="shared" ca="1" si="32"/>
        <v>45873.833333333285</v>
      </c>
      <c r="ADL3" s="41">
        <f t="shared" ca="1" si="32"/>
        <v>45873.874999999949</v>
      </c>
      <c r="ADM3" s="41">
        <f t="shared" ca="1" si="32"/>
        <v>45873.916666666613</v>
      </c>
      <c r="ADN3" s="41">
        <f t="shared" ca="1" si="32"/>
        <v>45873.958333333278</v>
      </c>
      <c r="ADO3" s="41">
        <f ca="1">ADO2</f>
        <v>45874</v>
      </c>
      <c r="ADP3" s="41">
        <f t="shared" ref="ADP3:AEL3" ca="1" si="33">ADO3 + 1/24</f>
        <v>45874.041666666664</v>
      </c>
      <c r="ADQ3" s="41">
        <f t="shared" ca="1" si="33"/>
        <v>45874.083333333328</v>
      </c>
      <c r="ADR3" s="41">
        <f t="shared" ca="1" si="33"/>
        <v>45874.124999999993</v>
      </c>
      <c r="ADS3" s="41">
        <f t="shared" ca="1" si="33"/>
        <v>45874.166666666657</v>
      </c>
      <c r="ADT3" s="41">
        <f t="shared" ca="1" si="33"/>
        <v>45874.208333333321</v>
      </c>
      <c r="ADU3" s="41">
        <f t="shared" ca="1" si="33"/>
        <v>45874.249999999985</v>
      </c>
      <c r="ADV3" s="41">
        <f t="shared" ca="1" si="33"/>
        <v>45874.29166666665</v>
      </c>
      <c r="ADW3" s="41">
        <f t="shared" ca="1" si="33"/>
        <v>45874.333333333314</v>
      </c>
      <c r="ADX3" s="41">
        <f t="shared" ca="1" si="33"/>
        <v>45874.374999999978</v>
      </c>
      <c r="ADY3" s="41">
        <f t="shared" ca="1" si="33"/>
        <v>45874.416666666642</v>
      </c>
      <c r="ADZ3" s="41">
        <f t="shared" ca="1" si="33"/>
        <v>45874.458333333307</v>
      </c>
      <c r="AEA3" s="41">
        <f t="shared" ca="1" si="33"/>
        <v>45874.499999999971</v>
      </c>
      <c r="AEB3" s="41">
        <f t="shared" ca="1" si="33"/>
        <v>45874.541666666635</v>
      </c>
      <c r="AEC3" s="41">
        <f t="shared" ca="1" si="33"/>
        <v>45874.583333333299</v>
      </c>
      <c r="AED3" s="41">
        <f t="shared" ca="1" si="33"/>
        <v>45874.624999999964</v>
      </c>
      <c r="AEE3" s="41">
        <f t="shared" ca="1" si="33"/>
        <v>45874.666666666628</v>
      </c>
      <c r="AEF3" s="41">
        <f t="shared" ca="1" si="33"/>
        <v>45874.708333333292</v>
      </c>
      <c r="AEG3" s="41">
        <f t="shared" ca="1" si="33"/>
        <v>45874.749999999956</v>
      </c>
      <c r="AEH3" s="41">
        <f t="shared" ca="1" si="33"/>
        <v>45874.791666666621</v>
      </c>
      <c r="AEI3" s="41">
        <f t="shared" ca="1" si="33"/>
        <v>45874.833333333285</v>
      </c>
      <c r="AEJ3" s="41">
        <f t="shared" ca="1" si="33"/>
        <v>45874.874999999949</v>
      </c>
      <c r="AEK3" s="41">
        <f t="shared" ca="1" si="33"/>
        <v>45874.916666666613</v>
      </c>
      <c r="AEL3" s="41">
        <f t="shared" ca="1" si="33"/>
        <v>45874.958333333278</v>
      </c>
      <c r="AEM3" s="41">
        <f ca="1">AEM2</f>
        <v>45875</v>
      </c>
      <c r="AEN3" s="41">
        <f t="shared" ref="AEN3:AFJ3" ca="1" si="34">AEM3 + 1/24</f>
        <v>45875.041666666664</v>
      </c>
      <c r="AEO3" s="41">
        <f t="shared" ca="1" si="34"/>
        <v>45875.083333333328</v>
      </c>
      <c r="AEP3" s="41">
        <f t="shared" ca="1" si="34"/>
        <v>45875.124999999993</v>
      </c>
      <c r="AEQ3" s="41">
        <f t="shared" ca="1" si="34"/>
        <v>45875.166666666657</v>
      </c>
      <c r="AER3" s="41">
        <f t="shared" ca="1" si="34"/>
        <v>45875.208333333321</v>
      </c>
      <c r="AES3" s="41">
        <f t="shared" ca="1" si="34"/>
        <v>45875.249999999985</v>
      </c>
      <c r="AET3" s="41">
        <f t="shared" ca="1" si="34"/>
        <v>45875.29166666665</v>
      </c>
      <c r="AEU3" s="41">
        <f t="shared" ca="1" si="34"/>
        <v>45875.333333333314</v>
      </c>
      <c r="AEV3" s="41">
        <f t="shared" ca="1" si="34"/>
        <v>45875.374999999978</v>
      </c>
      <c r="AEW3" s="41">
        <f t="shared" ca="1" si="34"/>
        <v>45875.416666666642</v>
      </c>
      <c r="AEX3" s="41">
        <f t="shared" ca="1" si="34"/>
        <v>45875.458333333307</v>
      </c>
      <c r="AEY3" s="41">
        <f t="shared" ca="1" si="34"/>
        <v>45875.499999999971</v>
      </c>
      <c r="AEZ3" s="41">
        <f t="shared" ca="1" si="34"/>
        <v>45875.541666666635</v>
      </c>
      <c r="AFA3" s="41">
        <f t="shared" ca="1" si="34"/>
        <v>45875.583333333299</v>
      </c>
      <c r="AFB3" s="41">
        <f t="shared" ca="1" si="34"/>
        <v>45875.624999999964</v>
      </c>
      <c r="AFC3" s="41">
        <f t="shared" ca="1" si="34"/>
        <v>45875.666666666628</v>
      </c>
      <c r="AFD3" s="41">
        <f t="shared" ca="1" si="34"/>
        <v>45875.708333333292</v>
      </c>
      <c r="AFE3" s="41">
        <f t="shared" ca="1" si="34"/>
        <v>45875.749999999956</v>
      </c>
      <c r="AFF3" s="41">
        <f t="shared" ca="1" si="34"/>
        <v>45875.791666666621</v>
      </c>
      <c r="AFG3" s="41">
        <f t="shared" ca="1" si="34"/>
        <v>45875.833333333285</v>
      </c>
      <c r="AFH3" s="41">
        <f t="shared" ca="1" si="34"/>
        <v>45875.874999999949</v>
      </c>
      <c r="AFI3" s="41">
        <f t="shared" ca="1" si="34"/>
        <v>45875.916666666613</v>
      </c>
      <c r="AFJ3" s="41">
        <f t="shared" ca="1" si="34"/>
        <v>45875.958333333278</v>
      </c>
      <c r="AFK3" s="41">
        <f ca="1">AFK2</f>
        <v>45876</v>
      </c>
      <c r="AFL3" s="41">
        <f t="shared" ref="AFL3:AGH3" ca="1" si="35">AFK3 + 1/24</f>
        <v>45876.041666666664</v>
      </c>
      <c r="AFM3" s="41">
        <f t="shared" ca="1" si="35"/>
        <v>45876.083333333328</v>
      </c>
      <c r="AFN3" s="41">
        <f t="shared" ca="1" si="35"/>
        <v>45876.124999999993</v>
      </c>
      <c r="AFO3" s="41">
        <f t="shared" ca="1" si="35"/>
        <v>45876.166666666657</v>
      </c>
      <c r="AFP3" s="41">
        <f t="shared" ca="1" si="35"/>
        <v>45876.208333333321</v>
      </c>
      <c r="AFQ3" s="41">
        <f t="shared" ca="1" si="35"/>
        <v>45876.249999999985</v>
      </c>
      <c r="AFR3" s="41">
        <f t="shared" ca="1" si="35"/>
        <v>45876.29166666665</v>
      </c>
      <c r="AFS3" s="41">
        <f t="shared" ca="1" si="35"/>
        <v>45876.333333333314</v>
      </c>
      <c r="AFT3" s="41">
        <f t="shared" ca="1" si="35"/>
        <v>45876.374999999978</v>
      </c>
      <c r="AFU3" s="41">
        <f t="shared" ca="1" si="35"/>
        <v>45876.416666666642</v>
      </c>
      <c r="AFV3" s="41">
        <f t="shared" ca="1" si="35"/>
        <v>45876.458333333307</v>
      </c>
      <c r="AFW3" s="41">
        <f t="shared" ca="1" si="35"/>
        <v>45876.499999999971</v>
      </c>
      <c r="AFX3" s="41">
        <f t="shared" ca="1" si="35"/>
        <v>45876.541666666635</v>
      </c>
      <c r="AFY3" s="41">
        <f t="shared" ca="1" si="35"/>
        <v>45876.583333333299</v>
      </c>
      <c r="AFZ3" s="41">
        <f t="shared" ca="1" si="35"/>
        <v>45876.624999999964</v>
      </c>
      <c r="AGA3" s="41">
        <f t="shared" ca="1" si="35"/>
        <v>45876.666666666628</v>
      </c>
      <c r="AGB3" s="41">
        <f t="shared" ca="1" si="35"/>
        <v>45876.708333333292</v>
      </c>
      <c r="AGC3" s="41">
        <f t="shared" ca="1" si="35"/>
        <v>45876.749999999956</v>
      </c>
      <c r="AGD3" s="41">
        <f t="shared" ca="1" si="35"/>
        <v>45876.791666666621</v>
      </c>
      <c r="AGE3" s="41">
        <f t="shared" ca="1" si="35"/>
        <v>45876.833333333285</v>
      </c>
      <c r="AGF3" s="41">
        <f t="shared" ca="1" si="35"/>
        <v>45876.874999999949</v>
      </c>
      <c r="AGG3" s="41">
        <f t="shared" ca="1" si="35"/>
        <v>45876.916666666613</v>
      </c>
      <c r="AGH3" s="41">
        <f t="shared" ca="1" si="35"/>
        <v>45876.958333333278</v>
      </c>
      <c r="AGI3" s="41">
        <f ca="1">AGI2</f>
        <v>45877</v>
      </c>
      <c r="AGJ3" s="41">
        <f t="shared" ref="AGJ3:AHF3" ca="1" si="36">AGI3 + 1/24</f>
        <v>45877.041666666664</v>
      </c>
      <c r="AGK3" s="41">
        <f t="shared" ca="1" si="36"/>
        <v>45877.083333333328</v>
      </c>
      <c r="AGL3" s="41">
        <f t="shared" ca="1" si="36"/>
        <v>45877.124999999993</v>
      </c>
      <c r="AGM3" s="41">
        <f t="shared" ca="1" si="36"/>
        <v>45877.166666666657</v>
      </c>
      <c r="AGN3" s="41">
        <f t="shared" ca="1" si="36"/>
        <v>45877.208333333321</v>
      </c>
      <c r="AGO3" s="41">
        <f t="shared" ca="1" si="36"/>
        <v>45877.249999999985</v>
      </c>
      <c r="AGP3" s="41">
        <f t="shared" ca="1" si="36"/>
        <v>45877.29166666665</v>
      </c>
      <c r="AGQ3" s="41">
        <f t="shared" ca="1" si="36"/>
        <v>45877.333333333314</v>
      </c>
      <c r="AGR3" s="41">
        <f t="shared" ca="1" si="36"/>
        <v>45877.374999999978</v>
      </c>
      <c r="AGS3" s="41">
        <f t="shared" ca="1" si="36"/>
        <v>45877.416666666642</v>
      </c>
      <c r="AGT3" s="41">
        <f t="shared" ca="1" si="36"/>
        <v>45877.458333333307</v>
      </c>
      <c r="AGU3" s="41">
        <f t="shared" ca="1" si="36"/>
        <v>45877.499999999971</v>
      </c>
      <c r="AGV3" s="41">
        <f t="shared" ca="1" si="36"/>
        <v>45877.541666666635</v>
      </c>
      <c r="AGW3" s="41">
        <f t="shared" ca="1" si="36"/>
        <v>45877.583333333299</v>
      </c>
      <c r="AGX3" s="41">
        <f t="shared" ca="1" si="36"/>
        <v>45877.624999999964</v>
      </c>
      <c r="AGY3" s="41">
        <f t="shared" ca="1" si="36"/>
        <v>45877.666666666628</v>
      </c>
      <c r="AGZ3" s="41">
        <f t="shared" ca="1" si="36"/>
        <v>45877.708333333292</v>
      </c>
      <c r="AHA3" s="41">
        <f t="shared" ca="1" si="36"/>
        <v>45877.749999999956</v>
      </c>
      <c r="AHB3" s="41">
        <f t="shared" ca="1" si="36"/>
        <v>45877.791666666621</v>
      </c>
      <c r="AHC3" s="41">
        <f t="shared" ca="1" si="36"/>
        <v>45877.833333333285</v>
      </c>
      <c r="AHD3" s="41">
        <f t="shared" ca="1" si="36"/>
        <v>45877.874999999949</v>
      </c>
      <c r="AHE3" s="41">
        <f t="shared" ca="1" si="36"/>
        <v>45877.916666666613</v>
      </c>
      <c r="AHF3" s="41">
        <f t="shared" ca="1" si="36"/>
        <v>45877.958333333278</v>
      </c>
      <c r="AHG3" s="41">
        <f ca="1">AHG2</f>
        <v>45880</v>
      </c>
      <c r="AHH3" s="41">
        <f t="shared" ref="AHH3:AID3" ca="1" si="37">AHG3 + 1/24</f>
        <v>45880.041666666664</v>
      </c>
      <c r="AHI3" s="41">
        <f t="shared" ca="1" si="37"/>
        <v>45880.083333333328</v>
      </c>
      <c r="AHJ3" s="41">
        <f t="shared" ca="1" si="37"/>
        <v>45880.124999999993</v>
      </c>
      <c r="AHK3" s="41">
        <f t="shared" ca="1" si="37"/>
        <v>45880.166666666657</v>
      </c>
      <c r="AHL3" s="41">
        <f t="shared" ca="1" si="37"/>
        <v>45880.208333333321</v>
      </c>
      <c r="AHM3" s="41">
        <f t="shared" ca="1" si="37"/>
        <v>45880.249999999985</v>
      </c>
      <c r="AHN3" s="41">
        <f t="shared" ca="1" si="37"/>
        <v>45880.29166666665</v>
      </c>
      <c r="AHO3" s="41">
        <f t="shared" ca="1" si="37"/>
        <v>45880.333333333314</v>
      </c>
      <c r="AHP3" s="41">
        <f t="shared" ca="1" si="37"/>
        <v>45880.374999999978</v>
      </c>
      <c r="AHQ3" s="41">
        <f t="shared" ca="1" si="37"/>
        <v>45880.416666666642</v>
      </c>
      <c r="AHR3" s="41">
        <f t="shared" ca="1" si="37"/>
        <v>45880.458333333307</v>
      </c>
      <c r="AHS3" s="41">
        <f t="shared" ca="1" si="37"/>
        <v>45880.499999999971</v>
      </c>
      <c r="AHT3" s="41">
        <f t="shared" ca="1" si="37"/>
        <v>45880.541666666635</v>
      </c>
      <c r="AHU3" s="41">
        <f t="shared" ca="1" si="37"/>
        <v>45880.583333333299</v>
      </c>
      <c r="AHV3" s="41">
        <f t="shared" ca="1" si="37"/>
        <v>45880.624999999964</v>
      </c>
      <c r="AHW3" s="41">
        <f t="shared" ca="1" si="37"/>
        <v>45880.666666666628</v>
      </c>
      <c r="AHX3" s="41">
        <f t="shared" ca="1" si="37"/>
        <v>45880.708333333292</v>
      </c>
      <c r="AHY3" s="41">
        <f t="shared" ca="1" si="37"/>
        <v>45880.749999999956</v>
      </c>
      <c r="AHZ3" s="41">
        <f t="shared" ca="1" si="37"/>
        <v>45880.791666666621</v>
      </c>
      <c r="AIA3" s="41">
        <f t="shared" ca="1" si="37"/>
        <v>45880.833333333285</v>
      </c>
      <c r="AIB3" s="41">
        <f t="shared" ca="1" si="37"/>
        <v>45880.874999999949</v>
      </c>
      <c r="AIC3" s="41">
        <f t="shared" ca="1" si="37"/>
        <v>45880.916666666613</v>
      </c>
      <c r="AID3" s="41">
        <f t="shared" ca="1" si="37"/>
        <v>45880.958333333278</v>
      </c>
      <c r="AIE3" s="41">
        <f ca="1">AIE2</f>
        <v>45881</v>
      </c>
      <c r="AIF3" s="41">
        <f t="shared" ref="AIF3:AJB3" ca="1" si="38">AIE3 + 1/24</f>
        <v>45881.041666666664</v>
      </c>
      <c r="AIG3" s="41">
        <f t="shared" ca="1" si="38"/>
        <v>45881.083333333328</v>
      </c>
      <c r="AIH3" s="41">
        <f t="shared" ca="1" si="38"/>
        <v>45881.124999999993</v>
      </c>
      <c r="AII3" s="41">
        <f t="shared" ca="1" si="38"/>
        <v>45881.166666666657</v>
      </c>
      <c r="AIJ3" s="41">
        <f t="shared" ca="1" si="38"/>
        <v>45881.208333333321</v>
      </c>
      <c r="AIK3" s="41">
        <f t="shared" ca="1" si="38"/>
        <v>45881.249999999985</v>
      </c>
      <c r="AIL3" s="41">
        <f t="shared" ca="1" si="38"/>
        <v>45881.29166666665</v>
      </c>
      <c r="AIM3" s="41">
        <f t="shared" ca="1" si="38"/>
        <v>45881.333333333314</v>
      </c>
      <c r="AIN3" s="41">
        <f t="shared" ca="1" si="38"/>
        <v>45881.374999999978</v>
      </c>
      <c r="AIO3" s="41">
        <f t="shared" ca="1" si="38"/>
        <v>45881.416666666642</v>
      </c>
      <c r="AIP3" s="41">
        <f t="shared" ca="1" si="38"/>
        <v>45881.458333333307</v>
      </c>
      <c r="AIQ3" s="41">
        <f t="shared" ca="1" si="38"/>
        <v>45881.499999999971</v>
      </c>
      <c r="AIR3" s="41">
        <f t="shared" ca="1" si="38"/>
        <v>45881.541666666635</v>
      </c>
      <c r="AIS3" s="41">
        <f t="shared" ca="1" si="38"/>
        <v>45881.583333333299</v>
      </c>
      <c r="AIT3" s="41">
        <f t="shared" ca="1" si="38"/>
        <v>45881.624999999964</v>
      </c>
      <c r="AIU3" s="41">
        <f t="shared" ca="1" si="38"/>
        <v>45881.666666666628</v>
      </c>
      <c r="AIV3" s="41">
        <f t="shared" ca="1" si="38"/>
        <v>45881.708333333292</v>
      </c>
      <c r="AIW3" s="41">
        <f t="shared" ca="1" si="38"/>
        <v>45881.749999999956</v>
      </c>
      <c r="AIX3" s="41">
        <f t="shared" ca="1" si="38"/>
        <v>45881.791666666621</v>
      </c>
      <c r="AIY3" s="41">
        <f t="shared" ca="1" si="38"/>
        <v>45881.833333333285</v>
      </c>
      <c r="AIZ3" s="41">
        <f t="shared" ca="1" si="38"/>
        <v>45881.874999999949</v>
      </c>
      <c r="AJA3" s="41">
        <f t="shared" ca="1" si="38"/>
        <v>45881.916666666613</v>
      </c>
      <c r="AJB3" s="41">
        <f t="shared" ca="1" si="38"/>
        <v>45881.958333333278</v>
      </c>
      <c r="AJC3" s="41">
        <f ca="1">AJC2</f>
        <v>45882</v>
      </c>
      <c r="AJD3" s="41">
        <f t="shared" ref="AJD3:AJZ3" ca="1" si="39">AJC3 + 1/24</f>
        <v>45882.041666666664</v>
      </c>
      <c r="AJE3" s="41">
        <f t="shared" ca="1" si="39"/>
        <v>45882.083333333328</v>
      </c>
      <c r="AJF3" s="41">
        <f t="shared" ca="1" si="39"/>
        <v>45882.124999999993</v>
      </c>
      <c r="AJG3" s="41">
        <f t="shared" ca="1" si="39"/>
        <v>45882.166666666657</v>
      </c>
      <c r="AJH3" s="41">
        <f t="shared" ca="1" si="39"/>
        <v>45882.208333333321</v>
      </c>
      <c r="AJI3" s="41">
        <f t="shared" ca="1" si="39"/>
        <v>45882.249999999985</v>
      </c>
      <c r="AJJ3" s="41">
        <f t="shared" ca="1" si="39"/>
        <v>45882.29166666665</v>
      </c>
      <c r="AJK3" s="41">
        <f t="shared" ca="1" si="39"/>
        <v>45882.333333333314</v>
      </c>
      <c r="AJL3" s="41">
        <f t="shared" ca="1" si="39"/>
        <v>45882.374999999978</v>
      </c>
      <c r="AJM3" s="41">
        <f t="shared" ca="1" si="39"/>
        <v>45882.416666666642</v>
      </c>
      <c r="AJN3" s="41">
        <f t="shared" ca="1" si="39"/>
        <v>45882.458333333307</v>
      </c>
      <c r="AJO3" s="41">
        <f t="shared" ca="1" si="39"/>
        <v>45882.499999999971</v>
      </c>
      <c r="AJP3" s="41">
        <f t="shared" ca="1" si="39"/>
        <v>45882.541666666635</v>
      </c>
      <c r="AJQ3" s="41">
        <f t="shared" ca="1" si="39"/>
        <v>45882.583333333299</v>
      </c>
      <c r="AJR3" s="41">
        <f t="shared" ca="1" si="39"/>
        <v>45882.624999999964</v>
      </c>
      <c r="AJS3" s="41">
        <f t="shared" ca="1" si="39"/>
        <v>45882.666666666628</v>
      </c>
      <c r="AJT3" s="41">
        <f t="shared" ca="1" si="39"/>
        <v>45882.708333333292</v>
      </c>
      <c r="AJU3" s="41">
        <f t="shared" ca="1" si="39"/>
        <v>45882.749999999956</v>
      </c>
      <c r="AJV3" s="41">
        <f t="shared" ca="1" si="39"/>
        <v>45882.791666666621</v>
      </c>
      <c r="AJW3" s="41">
        <f t="shared" ca="1" si="39"/>
        <v>45882.833333333285</v>
      </c>
      <c r="AJX3" s="41">
        <f t="shared" ca="1" si="39"/>
        <v>45882.874999999949</v>
      </c>
      <c r="AJY3" s="41">
        <f t="shared" ca="1" si="39"/>
        <v>45882.916666666613</v>
      </c>
      <c r="AJZ3" s="41">
        <f t="shared" ca="1" si="39"/>
        <v>45882.958333333278</v>
      </c>
    </row>
    <row r="4" spans="1:962" ht="80" customHeight="1" x14ac:dyDescent="0.35">
      <c r="A4" s="3" t="s">
        <v>22</v>
      </c>
    </row>
    <row r="5" spans="1:962" ht="80" customHeight="1" x14ac:dyDescent="0.35">
      <c r="A5" s="3" t="s">
        <v>3</v>
      </c>
    </row>
    <row r="6" spans="1:962" ht="80" customHeight="1" x14ac:dyDescent="0.35">
      <c r="A6" s="3" t="s">
        <v>0</v>
      </c>
    </row>
    <row r="7" spans="1:962" ht="80" customHeight="1" x14ac:dyDescent="0.35">
      <c r="A7" s="3" t="s">
        <v>7</v>
      </c>
    </row>
    <row r="8" spans="1:962" ht="80" customHeight="1" x14ac:dyDescent="0.35">
      <c r="A8" s="3" t="s">
        <v>2</v>
      </c>
      <c r="BG8" s="68" t="s">
        <v>1220</v>
      </c>
      <c r="BH8" s="69"/>
      <c r="BI8" s="69"/>
      <c r="BJ8" s="69"/>
      <c r="BK8" s="69"/>
      <c r="BL8" s="69"/>
      <c r="BM8" s="69"/>
      <c r="BN8" s="69"/>
      <c r="BO8" s="69"/>
      <c r="BP8" s="69"/>
      <c r="BQ8" s="69"/>
      <c r="BR8" s="69"/>
      <c r="BS8" s="69"/>
      <c r="BT8" s="69"/>
      <c r="BU8" s="69"/>
      <c r="BV8" s="69"/>
      <c r="BW8" s="69"/>
      <c r="BX8" s="69"/>
      <c r="BY8" s="69"/>
      <c r="BZ8" s="69"/>
      <c r="CA8" s="69"/>
      <c r="CB8" s="69"/>
      <c r="CC8" s="69"/>
      <c r="CD8" s="69"/>
      <c r="CE8" s="69"/>
      <c r="CF8" s="69"/>
      <c r="CG8" s="69"/>
      <c r="CH8" s="69"/>
      <c r="CI8" s="69"/>
      <c r="CJ8" s="69"/>
      <c r="CK8" s="69"/>
      <c r="CL8" s="69"/>
      <c r="CM8" s="69"/>
      <c r="CN8" s="69"/>
      <c r="CO8" s="69"/>
      <c r="CP8" s="69"/>
      <c r="CQ8" s="69"/>
      <c r="CR8" s="69"/>
      <c r="CS8" s="69"/>
      <c r="CT8" s="69"/>
      <c r="CU8" s="69"/>
      <c r="CV8" s="69"/>
      <c r="CW8" s="69"/>
      <c r="CX8" s="69"/>
      <c r="CY8" s="69"/>
      <c r="CZ8" s="69"/>
      <c r="DA8" s="69"/>
      <c r="DB8" s="69"/>
      <c r="DC8" s="69"/>
      <c r="DD8" s="69"/>
      <c r="DE8" s="69"/>
      <c r="DF8" s="69"/>
      <c r="DG8" s="69"/>
      <c r="DH8" s="69"/>
      <c r="DI8" s="69"/>
      <c r="DJ8" s="69"/>
      <c r="DK8" s="69"/>
      <c r="DL8" s="69"/>
      <c r="DM8" s="69"/>
      <c r="DN8" s="69"/>
      <c r="DO8" s="69"/>
      <c r="DP8" s="69"/>
      <c r="DQ8" s="69"/>
      <c r="DR8" s="69"/>
      <c r="DS8" s="69"/>
      <c r="DT8" s="69"/>
      <c r="DU8" s="69"/>
      <c r="DV8" s="69"/>
      <c r="DW8" s="69"/>
      <c r="DX8" s="69"/>
      <c r="DY8" s="69"/>
      <c r="DZ8" s="69"/>
      <c r="EA8" s="69"/>
      <c r="EB8" s="69"/>
      <c r="EC8" s="69"/>
      <c r="ED8" s="69"/>
      <c r="EE8" s="69"/>
      <c r="EF8" s="69"/>
      <c r="EG8" s="69"/>
      <c r="EH8" s="69"/>
      <c r="EI8" s="69"/>
      <c r="EJ8" s="69"/>
    </row>
    <row r="9" spans="1:962" ht="80" customHeight="1" x14ac:dyDescent="0.35">
      <c r="A9" s="3" t="s">
        <v>4</v>
      </c>
      <c r="C9" s="70" t="s">
        <v>1221</v>
      </c>
      <c r="D9" s="71"/>
      <c r="E9" s="71"/>
      <c r="F9" s="71"/>
      <c r="G9" s="71"/>
      <c r="H9" s="71"/>
      <c r="I9" s="71"/>
      <c r="J9" s="71"/>
      <c r="K9" s="71"/>
      <c r="L9" s="71"/>
      <c r="M9" s="71"/>
      <c r="N9" s="71"/>
      <c r="O9" s="71"/>
      <c r="P9" s="71"/>
      <c r="Q9" s="71"/>
      <c r="R9" s="71"/>
      <c r="S9" s="71"/>
      <c r="T9" s="71"/>
      <c r="U9" s="71"/>
      <c r="V9" s="71"/>
      <c r="W9" s="71"/>
      <c r="X9" s="71"/>
      <c r="Y9" s="71"/>
      <c r="Z9" s="71"/>
      <c r="AA9" s="71"/>
      <c r="AB9" s="71"/>
      <c r="AC9" s="71"/>
      <c r="AD9" s="71"/>
      <c r="AE9" s="71"/>
      <c r="AF9" s="71"/>
      <c r="AG9" s="71"/>
      <c r="AH9" s="71"/>
      <c r="AI9" s="71"/>
      <c r="AJ9" s="71"/>
      <c r="AK9" s="71"/>
      <c r="AL9" s="71"/>
      <c r="AM9" s="71"/>
      <c r="AN9" s="71"/>
      <c r="AO9" s="71"/>
      <c r="AP9" s="71"/>
      <c r="AQ9" s="71"/>
      <c r="AR9" s="71"/>
      <c r="AS9" s="71"/>
      <c r="AT9" s="71"/>
      <c r="AU9" s="71"/>
      <c r="AV9" s="71"/>
      <c r="AW9" s="71"/>
      <c r="AX9" s="71"/>
      <c r="AY9" s="71"/>
      <c r="AZ9" s="71"/>
      <c r="BA9" s="71"/>
      <c r="BB9" s="71"/>
      <c r="BC9" s="71"/>
      <c r="BD9" s="71"/>
      <c r="BE9" s="71"/>
    </row>
    <row r="10" spans="1:962" ht="80" customHeight="1" x14ac:dyDescent="0.35">
      <c r="A10" s="3" t="s">
        <v>8</v>
      </c>
    </row>
    <row r="11" spans="1:962" ht="80" customHeight="1" x14ac:dyDescent="0.35">
      <c r="A11" s="3" t="s">
        <v>15</v>
      </c>
    </row>
    <row r="12" spans="1:962" ht="80" customHeight="1" x14ac:dyDescent="0.35">
      <c r="A12" s="3" t="s">
        <v>1030</v>
      </c>
    </row>
  </sheetData>
  <dataConsolidate link="1"/>
  <mergeCells count="42">
    <mergeCell ref="DS2:EP2"/>
    <mergeCell ref="C2:Z2"/>
    <mergeCell ref="AA2:AX2"/>
    <mergeCell ref="AY2:BV2"/>
    <mergeCell ref="BW2:CT2"/>
    <mergeCell ref="CU2:DR2"/>
    <mergeCell ref="BG8:EJ8"/>
    <mergeCell ref="C9:BE9"/>
    <mergeCell ref="AJC2:AJZ2"/>
    <mergeCell ref="AAU2:ABR2"/>
    <mergeCell ref="ABS2:ACP2"/>
    <mergeCell ref="ACQ2:ADN2"/>
    <mergeCell ref="ADO2:AEL2"/>
    <mergeCell ref="AEM2:AFJ2"/>
    <mergeCell ref="AFK2:AGH2"/>
    <mergeCell ref="AGI2:AHF2"/>
    <mergeCell ref="AHG2:AID2"/>
    <mergeCell ref="AIE2:AJB2"/>
    <mergeCell ref="SM2:TJ2"/>
    <mergeCell ref="YA2:YX2"/>
    <mergeCell ref="YY2:ZV2"/>
    <mergeCell ref="TK2:UH2"/>
    <mergeCell ref="UI2:VF2"/>
    <mergeCell ref="VG2:WD2"/>
    <mergeCell ref="WE2:XB2"/>
    <mergeCell ref="XC2:XZ2"/>
    <mergeCell ref="ZW2:AAT2"/>
    <mergeCell ref="PS2:QP2"/>
    <mergeCell ref="EQ2:FN2"/>
    <mergeCell ref="FO2:GL2"/>
    <mergeCell ref="GM2:HJ2"/>
    <mergeCell ref="HK2:IH2"/>
    <mergeCell ref="II2:JF2"/>
    <mergeCell ref="JG2:KD2"/>
    <mergeCell ref="KE2:LB2"/>
    <mergeCell ref="LC2:LZ2"/>
    <mergeCell ref="MA2:MX2"/>
    <mergeCell ref="MY2:NV2"/>
    <mergeCell ref="OU2:PR2"/>
    <mergeCell ref="NW2:OT2"/>
    <mergeCell ref="QQ2:RN2"/>
    <mergeCell ref="RO2:SL2"/>
  </mergeCells>
  <conditionalFormatting sqref="C1:AJZ1">
    <cfRule type="expression" dxfId="412" priority="1">
      <formula>C3&lt;=EOMONTH($C3,0)</formula>
    </cfRule>
    <cfRule type="expression" dxfId="411" priority="2">
      <formula>AND(C3&lt;=EOMONTH($C2,1),C3&gt;EOMONTH($C3,0))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61" r:id="rId4" name="Button 113">
              <controlPr defaultSize="0" print="0" autoFill="0" autoPict="0" macro="[0]!BarChartButtons.BarChart_Render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762000</xdr:colOff>
                    <xdr:row>1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2" r:id="rId5" name="Button 114">
              <controlPr defaultSize="0" print="0" autoFill="0" autoPict="0" macro="[0]!BarChartButtons.BarChart_Format">
                <anchor moveWithCells="1" sizeWithCells="1">
                  <from>
                    <xdr:col>0</xdr:col>
                    <xdr:colOff>0</xdr:colOff>
                    <xdr:row>1</xdr:row>
                    <xdr:rowOff>69850</xdr:rowOff>
                  </from>
                  <to>
                    <xdr:col>0</xdr:col>
                    <xdr:colOff>762000</xdr:colOff>
                    <xdr:row>2</xdr:row>
                    <xdr:rowOff>139700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8F37E9-B97D-4F7E-89EA-E49F007134AB}">
  <sheetPr codeName="Sheet1"/>
  <dimension ref="A1:CV100"/>
  <sheetViews>
    <sheetView tabSelected="1" topLeftCell="N1" zoomScale="80" workbookViewId="0">
      <selection activeCell="S19" sqref="S19"/>
    </sheetView>
  </sheetViews>
  <sheetFormatPr defaultRowHeight="14.5" x14ac:dyDescent="0.35"/>
  <cols>
    <col min="1" max="1" width="6.1796875" customWidth="1"/>
    <col min="2" max="2" width="5.36328125" customWidth="1"/>
    <col min="3" max="3" width="20.81640625" customWidth="1"/>
    <col min="4" max="4" width="8.90625" customWidth="1"/>
    <col min="5" max="5" width="19.81640625" customWidth="1"/>
    <col min="6" max="6" width="16" customWidth="1"/>
    <col min="7" max="7" width="32.08984375" customWidth="1"/>
    <col min="8" max="8" width="6.90625" customWidth="1"/>
    <col min="9" max="9" width="8.7265625" customWidth="1"/>
    <col min="10" max="10" width="11.6328125" customWidth="1"/>
    <col min="11" max="11" width="13.08984375" bestFit="1" customWidth="1"/>
    <col min="12" max="12" width="13.54296875" customWidth="1"/>
    <col min="14" max="14" width="14.81640625" bestFit="1" customWidth="1"/>
    <col min="15" max="15" width="19.08984375" customWidth="1"/>
    <col min="16" max="16" width="10.08984375" customWidth="1"/>
    <col min="17" max="17" width="13.6328125" customWidth="1"/>
    <col min="18" max="18" width="14.36328125" customWidth="1"/>
    <col min="19" max="19" width="16.90625" customWidth="1"/>
    <col min="20" max="20" width="15.26953125" customWidth="1"/>
    <col min="21" max="21" width="16.08984375" customWidth="1"/>
    <col min="22" max="22" width="2.54296875" customWidth="1"/>
  </cols>
  <sheetData>
    <row r="1" spans="1:21" x14ac:dyDescent="0.35">
      <c r="A1" s="4" t="s">
        <v>1196</v>
      </c>
      <c r="B1" s="4" t="s">
        <v>1197</v>
      </c>
      <c r="C1" s="4" t="s">
        <v>6</v>
      </c>
      <c r="D1" s="4" t="s">
        <v>1198</v>
      </c>
      <c r="E1" s="4" t="s">
        <v>1199</v>
      </c>
      <c r="F1" s="4" t="s">
        <v>1200</v>
      </c>
      <c r="G1" s="4" t="s">
        <v>1201</v>
      </c>
      <c r="H1" s="4" t="s">
        <v>1202</v>
      </c>
      <c r="I1" s="4" t="s">
        <v>1029</v>
      </c>
      <c r="J1" s="4" t="s">
        <v>1203</v>
      </c>
      <c r="K1" s="4" t="s">
        <v>1204</v>
      </c>
      <c r="L1" s="4" t="s">
        <v>1205</v>
      </c>
      <c r="M1" s="4" t="s">
        <v>1206</v>
      </c>
      <c r="N1" s="4" t="s">
        <v>1207</v>
      </c>
      <c r="O1" s="4" t="s">
        <v>1208</v>
      </c>
      <c r="P1" s="4" t="s">
        <v>1209</v>
      </c>
      <c r="Q1" s="4" t="s">
        <v>1210</v>
      </c>
      <c r="R1" s="4" t="s">
        <v>1213</v>
      </c>
      <c r="S1" s="4" t="s">
        <v>1211</v>
      </c>
      <c r="T1" s="4" t="s">
        <v>1212</v>
      </c>
      <c r="U1" s="4" t="s">
        <v>1031</v>
      </c>
    </row>
    <row r="2" spans="1:21" x14ac:dyDescent="0.35">
      <c r="A2" s="17">
        <v>1</v>
      </c>
      <c r="B2" s="17">
        <v>1</v>
      </c>
      <c r="C2" s="18">
        <v>45838.334583333337</v>
      </c>
      <c r="D2" s="5">
        <f>_xlfn.XLOOKUP(_xlfn.XLOOKUP($B2, ProductOrderParts!$A:$A, ProductOrderParts!$B:$B), ProductOrders!$A:$A, ProductOrders!$C:$C)</f>
        <v>1552</v>
      </c>
      <c r="E2" s="5" t="str">
        <f>_xlfn.XLOOKUP(_xlfn.XLOOKUP($B2, ProductOrderParts!$A:$A, ProductOrderParts!$B:$B), ProductOrders!$A:$A, ProductOrders!$D:$D)</f>
        <v>ORP</v>
      </c>
      <c r="F2" s="5" t="str">
        <f>_xlfn.XLOOKUP(_xlfn.XLOOKUP($B2, ProductOrderParts!$A:$A, ProductOrderParts!$C:$C), Parts!$A:$A, Parts!$C:$C)</f>
        <v>OD-GXH50</v>
      </c>
      <c r="G2" s="5" t="str">
        <f>_xlfn.XLOOKUP(_xlfn.XLOOKUP($B2, ProductOrderParts!$A:$A, ProductOrderParts!$C:$C), Parts!$A:$A, Parts!$D:$D)</f>
        <v>GXH50 HONDA MOUNT</v>
      </c>
      <c r="H2" s="7">
        <v>20</v>
      </c>
      <c r="I2" s="5">
        <f>_xlfn.XLOOKUP($B2, ProductOrderParts!$A:$A, ProductOrderParts!$I:$I)</f>
        <v>62</v>
      </c>
      <c r="J2" s="7">
        <v>0</v>
      </c>
      <c r="K2" s="9">
        <v>3</v>
      </c>
      <c r="L2" s="11">
        <f t="shared" ref="L2:L13" si="0">IFERROR(MAX(0, (($I2 - $Q2 + IF($Q2&gt;0, 0, $K2)) / $J2)), 0)</f>
        <v>0</v>
      </c>
      <c r="M2" s="7"/>
      <c r="N2" s="13"/>
      <c r="O2" s="13"/>
      <c r="P2" s="15">
        <f>_xlfn.XLOOKUP($B2, ProductOrderParts!$A:$A, ProductOrderParts!$J:$J)</f>
        <v>45823</v>
      </c>
      <c r="Q2" s="7">
        <v>0</v>
      </c>
      <c r="R2" s="5" t="str">
        <f>_xlfn.XLOOKUP($B2, ProductOrderParts!$A:$A, ProductOrderParts!$K:$K)</f>
        <v>Not Ordered</v>
      </c>
      <c r="S2" s="7"/>
      <c r="T2" s="7"/>
      <c r="U2" s="5">
        <v>0</v>
      </c>
    </row>
    <row r="3" spans="1:21" x14ac:dyDescent="0.35">
      <c r="A3" s="19">
        <v>2</v>
      </c>
      <c r="B3" s="19">
        <v>2</v>
      </c>
      <c r="C3" s="20">
        <v>45838.334583333337</v>
      </c>
      <c r="D3" s="6">
        <f>_xlfn.XLOOKUP(_xlfn.XLOOKUP($B3, ProductOrderParts!$A:$A, ProductOrderParts!$B:$B), ProductOrders!$A:$A, ProductOrders!$C:$C)</f>
        <v>2779</v>
      </c>
      <c r="E3" s="6" t="str">
        <f>_xlfn.XLOOKUP(_xlfn.XLOOKUP($B3, ProductOrderParts!$A:$A, ProductOrderParts!$B:$B), ProductOrders!$A:$A, ProductOrders!$D:$D)</f>
        <v>XPEDITION</v>
      </c>
      <c r="F3" s="6" t="str">
        <f>_xlfn.XLOOKUP(_xlfn.XLOOKUP($B3, ProductOrderParts!$A:$A, ProductOrderParts!$C:$C), Parts!$A:$A, Parts!$C:$C)</f>
        <v>XA-50300A</v>
      </c>
      <c r="G3" s="6" t="str">
        <f>_xlfn.XLOOKUP(_xlfn.XLOOKUP($B3, ProductOrderParts!$A:$A, ProductOrderParts!$C:$C), Parts!$A:$A, Parts!$D:$D)</f>
        <v>2.0 LEVER TOP CAM RH CAM ASSEMBLY</v>
      </c>
      <c r="H3" s="8"/>
      <c r="I3" s="6">
        <f>_xlfn.XLOOKUP($B3, ProductOrderParts!$A:$A, ProductOrderParts!$I:$I)</f>
        <v>50</v>
      </c>
      <c r="J3" s="8">
        <v>0</v>
      </c>
      <c r="K3" s="10">
        <v>0</v>
      </c>
      <c r="L3" s="12">
        <f t="shared" si="0"/>
        <v>0</v>
      </c>
      <c r="M3" s="8"/>
      <c r="N3" s="14"/>
      <c r="O3" s="14"/>
      <c r="P3" s="16">
        <f>_xlfn.XLOOKUP($B3, ProductOrderParts!$A:$A, ProductOrderParts!$J:$J)</f>
        <v>45835</v>
      </c>
      <c r="Q3" s="8">
        <v>0</v>
      </c>
      <c r="R3" s="6" t="str">
        <f>_xlfn.XLOOKUP($B3, ProductOrderParts!$A:$A, ProductOrderParts!$K:$K)</f>
        <v>Cut</v>
      </c>
      <c r="S3" s="8"/>
      <c r="T3" s="8"/>
      <c r="U3" s="6">
        <v>0</v>
      </c>
    </row>
    <row r="4" spans="1:21" x14ac:dyDescent="0.35">
      <c r="A4" s="21">
        <v>3</v>
      </c>
      <c r="B4" s="21">
        <v>10</v>
      </c>
      <c r="C4" s="22">
        <v>45838.530659722222</v>
      </c>
      <c r="D4" s="5">
        <f>_xlfn.XLOOKUP(_xlfn.XLOOKUP($B4, ProductOrderParts!$A:$A, ProductOrderParts!$B:$B), ProductOrders!$A:$A, ProductOrders!$C:$C)</f>
        <v>50094</v>
      </c>
      <c r="E4" s="5" t="str">
        <f>_xlfn.XLOOKUP(_xlfn.XLOOKUP($B4, ProductOrderParts!$A:$A, ProductOrderParts!$B:$B), ProductOrders!$A:$A, ProductOrders!$D:$D)</f>
        <v>DAWN VME</v>
      </c>
      <c r="F4" s="5" t="str">
        <f>_xlfn.XLOOKUP(_xlfn.XLOOKUP($B4, ProductOrderParts!$A:$A, ProductOrderParts!$C:$C), Parts!$A:$A, Parts!$C:$C)</f>
        <v>84-1600021-B</v>
      </c>
      <c r="G4" s="5" t="str">
        <f>_xlfn.XLOOKUP(_xlfn.XLOOKUP($B4, ProductOrderParts!$A:$A, ProductOrderParts!$C:$C), Parts!$A:$A, Parts!$D:$D)</f>
        <v>RAIL, BOTTOM</v>
      </c>
      <c r="H4" s="7">
        <v>20</v>
      </c>
      <c r="I4" s="5">
        <f>_xlfn.XLOOKUP($B4, ProductOrderParts!$A:$A, ProductOrderParts!$I:$I)</f>
        <v>10</v>
      </c>
      <c r="J4" s="7">
        <v>0</v>
      </c>
      <c r="K4" s="9">
        <v>3</v>
      </c>
      <c r="L4" s="11">
        <f t="shared" si="0"/>
        <v>0</v>
      </c>
      <c r="M4" s="7"/>
      <c r="N4" s="13"/>
      <c r="O4" s="13"/>
      <c r="P4" s="15">
        <f>_xlfn.XLOOKUP($B4, ProductOrderParts!$A:$A, ProductOrderParts!$J:$J)</f>
        <v>45856</v>
      </c>
      <c r="Q4" s="7">
        <v>0</v>
      </c>
      <c r="R4" s="5" t="str">
        <f>_xlfn.XLOOKUP($B4, ProductOrderParts!$A:$A, ProductOrderParts!$K:$K)</f>
        <v>In House</v>
      </c>
      <c r="S4" s="7" t="s">
        <v>26</v>
      </c>
      <c r="T4" s="7"/>
      <c r="U4" s="5">
        <v>0</v>
      </c>
    </row>
    <row r="5" spans="1:21" x14ac:dyDescent="0.35">
      <c r="A5" s="23">
        <v>4</v>
      </c>
      <c r="B5" s="23">
        <v>10</v>
      </c>
      <c r="C5" s="24">
        <v>45838.334583333337</v>
      </c>
      <c r="D5" s="6">
        <f>_xlfn.XLOOKUP(_xlfn.XLOOKUP($B5, ProductOrderParts!$A:$A, ProductOrderParts!$B:$B), ProductOrders!$A:$A, ProductOrders!$C:$C)</f>
        <v>50094</v>
      </c>
      <c r="E5" s="6" t="str">
        <f>_xlfn.XLOOKUP(_xlfn.XLOOKUP($B5, ProductOrderParts!$A:$A, ProductOrderParts!$B:$B), ProductOrders!$A:$A, ProductOrders!$D:$D)</f>
        <v>DAWN VME</v>
      </c>
      <c r="F5" s="6" t="str">
        <f>_xlfn.XLOOKUP(_xlfn.XLOOKUP($B5, ProductOrderParts!$A:$A, ProductOrderParts!$C:$C), Parts!$A:$A, Parts!$C:$C)</f>
        <v>84-1600021-B</v>
      </c>
      <c r="G5" s="6" t="str">
        <f>_xlfn.XLOOKUP(_xlfn.XLOOKUP($B5, ProductOrderParts!$A:$A, ProductOrderParts!$C:$C), Parts!$A:$A, Parts!$D:$D)</f>
        <v>RAIL, BOTTOM</v>
      </c>
      <c r="H5" s="8">
        <v>20</v>
      </c>
      <c r="I5" s="6">
        <f>_xlfn.XLOOKUP($B5, ProductOrderParts!$A:$A, ProductOrderParts!$I:$I)</f>
        <v>10</v>
      </c>
      <c r="J5" s="8">
        <v>0</v>
      </c>
      <c r="K5" s="10">
        <v>3</v>
      </c>
      <c r="L5" s="12">
        <f t="shared" si="0"/>
        <v>0</v>
      </c>
      <c r="M5" s="8"/>
      <c r="N5" s="14"/>
      <c r="O5" s="14"/>
      <c r="P5" s="16">
        <f>_xlfn.XLOOKUP($B5, ProductOrderParts!$A:$A, ProductOrderParts!$J:$J)</f>
        <v>45856</v>
      </c>
      <c r="Q5" s="8">
        <v>0</v>
      </c>
      <c r="R5" s="6" t="str">
        <f>_xlfn.XLOOKUP($B5, ProductOrderParts!$A:$A, ProductOrderParts!$K:$K)</f>
        <v>In House</v>
      </c>
      <c r="S5" s="8"/>
      <c r="T5" s="8"/>
      <c r="U5" s="6">
        <v>0</v>
      </c>
    </row>
    <row r="6" spans="1:21" x14ac:dyDescent="0.35">
      <c r="A6" s="25">
        <v>5</v>
      </c>
      <c r="B6" s="25">
        <v>21</v>
      </c>
      <c r="C6" s="26">
        <v>45838.530682870369</v>
      </c>
      <c r="D6" s="5">
        <f>_xlfn.XLOOKUP(_xlfn.XLOOKUP($B6, ProductOrderParts!$A:$A, ProductOrderParts!$B:$B), ProductOrders!$A:$A, ProductOrders!$C:$C)</f>
        <v>1686</v>
      </c>
      <c r="E6" s="5" t="str">
        <f>_xlfn.XLOOKUP(_xlfn.XLOOKUP($B6, ProductOrderParts!$A:$A, ProductOrderParts!$B:$B), ProductOrders!$A:$A, ProductOrders!$D:$D)</f>
        <v>ORP</v>
      </c>
      <c r="F6" s="5" t="str">
        <f>_xlfn.XLOOKUP(_xlfn.XLOOKUP($B6, ProductOrderParts!$A:$A, ProductOrderParts!$C:$C), Parts!$A:$A, Parts!$C:$C)</f>
        <v>OD-EZGP03-1</v>
      </c>
      <c r="G6" s="5" t="str">
        <f>_xlfn.XLOOKUP(_xlfn.XLOOKUP($B6, ProductOrderParts!$A:$A, ProductOrderParts!$C:$C), Parts!$A:$A, Parts!$D:$D)</f>
        <v>DUAL TOP PLATE</v>
      </c>
      <c r="H6" s="7">
        <v>10</v>
      </c>
      <c r="I6" s="5">
        <f>_xlfn.XLOOKUP($B6, ProductOrderParts!$A:$A, ProductOrderParts!$I:$I)</f>
        <v>216</v>
      </c>
      <c r="J6" s="7">
        <v>240</v>
      </c>
      <c r="K6" s="9">
        <v>2</v>
      </c>
      <c r="L6" s="11">
        <f t="shared" si="0"/>
        <v>0.90833333333333333</v>
      </c>
      <c r="M6" s="7"/>
      <c r="N6" s="13">
        <v>45831.416666666664</v>
      </c>
      <c r="O6" s="13">
        <v>45831.537499999999</v>
      </c>
      <c r="P6" s="15">
        <f>_xlfn.XLOOKUP($B6, ProductOrderParts!$A:$A, ProductOrderParts!$J:$J)</f>
        <v>45848</v>
      </c>
      <c r="Q6" s="7">
        <v>0</v>
      </c>
      <c r="R6" s="5" t="str">
        <f>_xlfn.XLOOKUP($B6, ProductOrderParts!$A:$A, ProductOrderParts!$K:$K)</f>
        <v>Cut</v>
      </c>
      <c r="S6" s="7" t="s">
        <v>26</v>
      </c>
      <c r="T6" s="7"/>
      <c r="U6" s="5">
        <v>0</v>
      </c>
    </row>
    <row r="7" spans="1:21" x14ac:dyDescent="0.35">
      <c r="A7" s="27">
        <v>6</v>
      </c>
      <c r="B7" s="27">
        <v>22</v>
      </c>
      <c r="C7" s="28">
        <v>45839.381342592591</v>
      </c>
      <c r="D7" s="6">
        <f>_xlfn.XLOOKUP(_xlfn.XLOOKUP($B7, ProductOrderParts!$A:$A, ProductOrderParts!$B:$B), ProductOrders!$A:$A, ProductOrders!$C:$C)</f>
        <v>1685</v>
      </c>
      <c r="E7" s="6" t="str">
        <f>_xlfn.XLOOKUP(_xlfn.XLOOKUP($B7, ProductOrderParts!$A:$A, ProductOrderParts!$B:$B), ProductOrders!$A:$A, ProductOrders!$D:$D)</f>
        <v>ORP</v>
      </c>
      <c r="F7" s="6" t="str">
        <f>_xlfn.XLOOKUP(_xlfn.XLOOKUP($B7, ProductOrderParts!$A:$A, ProductOrderParts!$C:$C), Parts!$A:$A, Parts!$C:$C)</f>
        <v>OD-EZGP04-1</v>
      </c>
      <c r="G7" s="6" t="str">
        <f>_xlfn.XLOOKUP(_xlfn.XLOOKUP($B7, ProductOrderParts!$A:$A, ProductOrderParts!$C:$C), Parts!$A:$A, Parts!$D:$D)</f>
        <v>SINGLE TOP PLATE</v>
      </c>
      <c r="H7" s="8">
        <v>10</v>
      </c>
      <c r="I7" s="6">
        <f>_xlfn.XLOOKUP($B7, ProductOrderParts!$A:$A, ProductOrderParts!$I:$I)</f>
        <v>1020</v>
      </c>
      <c r="J7" s="8">
        <v>26</v>
      </c>
      <c r="K7" s="10">
        <v>2</v>
      </c>
      <c r="L7" s="12">
        <f t="shared" si="0"/>
        <v>39.307692307692307</v>
      </c>
      <c r="M7" s="8" t="s">
        <v>4</v>
      </c>
      <c r="N7" s="14">
        <v>45826.532048611109</v>
      </c>
      <c r="O7" s="14">
        <v>45831.294872685183</v>
      </c>
      <c r="P7" s="16">
        <f>_xlfn.XLOOKUP($B7, ProductOrderParts!$A:$A, ProductOrderParts!$J:$J)</f>
        <v>45869</v>
      </c>
      <c r="Q7" s="8">
        <v>0</v>
      </c>
      <c r="R7" s="6" t="str">
        <f>_xlfn.XLOOKUP($B7, ProductOrderParts!$A:$A, ProductOrderParts!$K:$K)</f>
        <v>In House</v>
      </c>
      <c r="S7" s="8" t="s">
        <v>5</v>
      </c>
      <c r="T7" s="8"/>
      <c r="U7" s="6">
        <v>0</v>
      </c>
    </row>
    <row r="8" spans="1:21" x14ac:dyDescent="0.35">
      <c r="A8" s="29">
        <v>7</v>
      </c>
      <c r="B8" s="29">
        <v>23</v>
      </c>
      <c r="C8" s="30">
        <v>45839.357824074075</v>
      </c>
      <c r="D8" s="5">
        <f>_xlfn.XLOOKUP(_xlfn.XLOOKUP($B8, ProductOrderParts!$A:$A, ProductOrderParts!$B:$B), ProductOrders!$A:$A, ProductOrders!$C:$C)</f>
        <v>234234</v>
      </c>
      <c r="E8" s="5" t="str">
        <f>_xlfn.XLOOKUP(_xlfn.XLOOKUP($B8, ProductOrderParts!$A:$A, ProductOrderParts!$B:$B), ProductOrders!$A:$A, ProductOrders!$D:$D)</f>
        <v>RUGGED PORTABLE</v>
      </c>
      <c r="F8" s="5" t="str">
        <f>_xlfn.XLOOKUP(_xlfn.XLOOKUP($B8, ProductOrderParts!$A:$A, ProductOrderParts!$C:$C), Parts!$A:$A, Parts!$C:$C)</f>
        <v>125-12240109</v>
      </c>
      <c r="G8" s="5" t="str">
        <f>_xlfn.XLOOKUP(_xlfn.XLOOKUP($B8, ProductOrderParts!$A:$A, ProductOrderParts!$C:$C), Parts!$A:$A, Parts!$D:$D)</f>
        <v>MACHINED EXTRUSION, RECIEVER</v>
      </c>
      <c r="H8" s="7">
        <v>10</v>
      </c>
      <c r="I8" s="5">
        <f>_xlfn.XLOOKUP($B8, ProductOrderParts!$A:$A, ProductOrderParts!$I:$I)</f>
        <v>2092</v>
      </c>
      <c r="J8" s="7">
        <v>30</v>
      </c>
      <c r="K8" s="9">
        <v>1</v>
      </c>
      <c r="L8" s="11">
        <f t="shared" si="0"/>
        <v>0</v>
      </c>
      <c r="M8" s="7" t="s">
        <v>2</v>
      </c>
      <c r="N8" s="13">
        <v>45831.333333333336</v>
      </c>
      <c r="O8" s="13">
        <v>45834.738888888889</v>
      </c>
      <c r="P8" s="15">
        <f>_xlfn.XLOOKUP($B8, ProductOrderParts!$A:$A, ProductOrderParts!$J:$J)</f>
        <v>45891</v>
      </c>
      <c r="Q8" s="7">
        <v>8000</v>
      </c>
      <c r="R8" s="5" t="str">
        <f>_xlfn.XLOOKUP($B8, ProductOrderParts!$A:$A, ProductOrderParts!$K:$K)</f>
        <v>Ordered</v>
      </c>
      <c r="S8" s="7"/>
      <c r="T8" s="7"/>
      <c r="U8" s="5">
        <v>0</v>
      </c>
    </row>
    <row r="9" spans="1:21" x14ac:dyDescent="0.35">
      <c r="A9" s="31">
        <v>8</v>
      </c>
      <c r="B9" s="31">
        <v>12</v>
      </c>
      <c r="C9" s="32">
        <v>45838.530763888892</v>
      </c>
      <c r="D9" s="6">
        <f>_xlfn.XLOOKUP(_xlfn.XLOOKUP($B9, ProductOrderParts!$A:$A, ProductOrderParts!$B:$B), ProductOrders!$A:$A, ProductOrders!$C:$C)</f>
        <v>50110</v>
      </c>
      <c r="E9" s="6" t="str">
        <f>_xlfn.XLOOKUP(_xlfn.XLOOKUP($B9, ProductOrderParts!$A:$A, ProductOrderParts!$B:$B), ProductOrders!$A:$A, ProductOrders!$D:$D)</f>
        <v>DAWN VME</v>
      </c>
      <c r="F9" s="6" t="str">
        <f>_xlfn.XLOOKUP(_xlfn.XLOOKUP($B9, ProductOrderParts!$A:$A, ProductOrderParts!$C:$C), Parts!$A:$A, Parts!$C:$C)</f>
        <v>25-1021149-01</v>
      </c>
      <c r="G9" s="6" t="str">
        <f>_xlfn.XLOOKUP(_xlfn.XLOOKUP($B9, ProductOrderParts!$A:$A, ProductOrderParts!$C:$C), Parts!$A:$A, Parts!$D:$D)</f>
        <v>HOUSING, LEFT</v>
      </c>
      <c r="H9" s="8"/>
      <c r="I9" s="6">
        <f>_xlfn.XLOOKUP($B9, ProductOrderParts!$A:$A, ProductOrderParts!$I:$I)</f>
        <v>25</v>
      </c>
      <c r="J9" s="8">
        <v>0</v>
      </c>
      <c r="K9" s="10">
        <v>0</v>
      </c>
      <c r="L9" s="12">
        <f t="shared" si="0"/>
        <v>0</v>
      </c>
      <c r="M9" s="8"/>
      <c r="N9" s="14"/>
      <c r="O9" s="14"/>
      <c r="P9" s="16">
        <f>_xlfn.XLOOKUP($B9, ProductOrderParts!$A:$A, ProductOrderParts!$J:$J)</f>
        <v>45849</v>
      </c>
      <c r="Q9" s="8">
        <v>0</v>
      </c>
      <c r="R9" s="6" t="str">
        <f>_xlfn.XLOOKUP($B9, ProductOrderParts!$A:$A, ProductOrderParts!$K:$K)</f>
        <v>Cut</v>
      </c>
      <c r="S9" s="8"/>
      <c r="T9" s="8"/>
      <c r="U9" s="6">
        <v>0</v>
      </c>
    </row>
    <row r="10" spans="1:21" x14ac:dyDescent="0.35">
      <c r="A10" s="33">
        <v>9</v>
      </c>
      <c r="B10" s="33">
        <v>24</v>
      </c>
      <c r="C10" s="34">
        <v>45838.41615740741</v>
      </c>
      <c r="D10" s="5">
        <f>_xlfn.XLOOKUP(_xlfn.XLOOKUP($B10, ProductOrderParts!$A:$A, ProductOrderParts!$B:$B), ProductOrders!$A:$A, ProductOrders!$C:$C)</f>
        <v>50203</v>
      </c>
      <c r="E10" s="5" t="str">
        <f>_xlfn.XLOOKUP(_xlfn.XLOOKUP($B10, ProductOrderParts!$A:$A, ProductOrderParts!$B:$B), ProductOrders!$A:$A, ProductOrders!$D:$D)</f>
        <v>DAWN VME</v>
      </c>
      <c r="F10" s="5" t="str">
        <f>_xlfn.XLOOKUP(_xlfn.XLOOKUP($B10, ProductOrderParts!$A:$A, ProductOrderParts!$C:$C), Parts!$A:$A, Parts!$C:$C)</f>
        <v>10-1020636</v>
      </c>
      <c r="G10" s="5" t="str">
        <f>_xlfn.XLOOKUP(_xlfn.XLOOKUP($B10, ProductOrderParts!$A:$A, ProductOrderParts!$C:$C), Parts!$A:$A, Parts!$D:$D)</f>
        <v>COVER, FRONT, 265, PS, AIR COOLED, 1.2INCH CSTM 90</v>
      </c>
      <c r="H10" s="7">
        <v>20</v>
      </c>
      <c r="I10" s="5">
        <f>_xlfn.XLOOKUP($B10, ProductOrderParts!$A:$A, ProductOrderParts!$I:$I)</f>
        <v>10</v>
      </c>
      <c r="J10" s="7">
        <v>0</v>
      </c>
      <c r="K10" s="9">
        <v>0.5</v>
      </c>
      <c r="L10" s="11">
        <f t="shared" si="0"/>
        <v>0</v>
      </c>
      <c r="M10" s="7"/>
      <c r="N10" s="13"/>
      <c r="O10" s="13"/>
      <c r="P10" s="15" t="str">
        <f>_xlfn.XLOOKUP($B10, ProductOrderParts!$A:$A, ProductOrderParts!$J:$J)</f>
        <v>ASAP</v>
      </c>
      <c r="Q10" s="7">
        <v>0</v>
      </c>
      <c r="R10" s="5" t="str">
        <f>_xlfn.XLOOKUP($B10, ProductOrderParts!$A:$A, ProductOrderParts!$K:$K)</f>
        <v>Not Ordered</v>
      </c>
      <c r="S10" s="7"/>
      <c r="T10" s="7"/>
      <c r="U10" s="5">
        <v>0</v>
      </c>
    </row>
    <row r="11" spans="1:21" x14ac:dyDescent="0.35">
      <c r="A11" s="35">
        <v>10</v>
      </c>
      <c r="B11" s="35">
        <v>24</v>
      </c>
      <c r="C11" s="36">
        <v>45838.416168981479</v>
      </c>
      <c r="D11" s="6">
        <f>_xlfn.XLOOKUP(_xlfn.XLOOKUP($B11, ProductOrderParts!$A:$A, ProductOrderParts!$B:$B), ProductOrders!$A:$A, ProductOrders!$C:$C)</f>
        <v>50203</v>
      </c>
      <c r="E11" s="6" t="str">
        <f>_xlfn.XLOOKUP(_xlfn.XLOOKUP($B11, ProductOrderParts!$A:$A, ProductOrderParts!$B:$B), ProductOrders!$A:$A, ProductOrders!$D:$D)</f>
        <v>DAWN VME</v>
      </c>
      <c r="F11" s="6" t="str">
        <f>_xlfn.XLOOKUP(_xlfn.XLOOKUP($B11, ProductOrderParts!$A:$A, ProductOrderParts!$C:$C), Parts!$A:$A, Parts!$C:$C)</f>
        <v>10-1020636</v>
      </c>
      <c r="G11" s="6" t="str">
        <f>_xlfn.XLOOKUP(_xlfn.XLOOKUP($B11, ProductOrderParts!$A:$A, ProductOrderParts!$C:$C), Parts!$A:$A, Parts!$D:$D)</f>
        <v>COVER, FRONT, 265, PS, AIR COOLED, 1.2INCH CSTM 90</v>
      </c>
      <c r="H11" s="8">
        <v>30</v>
      </c>
      <c r="I11" s="6">
        <f>_xlfn.XLOOKUP($B11, ProductOrderParts!$A:$A, ProductOrderParts!$I:$I)</f>
        <v>10</v>
      </c>
      <c r="J11" s="8">
        <v>0</v>
      </c>
      <c r="K11" s="10">
        <v>0.5</v>
      </c>
      <c r="L11" s="12">
        <f t="shared" si="0"/>
        <v>0</v>
      </c>
      <c r="M11" s="8"/>
      <c r="N11" s="14"/>
      <c r="O11" s="14"/>
      <c r="P11" s="16" t="str">
        <f>_xlfn.XLOOKUP($B11, ProductOrderParts!$A:$A, ProductOrderParts!$J:$J)</f>
        <v>ASAP</v>
      </c>
      <c r="Q11" s="8">
        <v>0</v>
      </c>
      <c r="R11" s="6" t="str">
        <f>_xlfn.XLOOKUP($B11, ProductOrderParts!$A:$A, ProductOrderParts!$K:$K)</f>
        <v>Not Ordered</v>
      </c>
      <c r="S11" s="8"/>
      <c r="T11" s="8"/>
      <c r="U11" s="6">
        <v>0</v>
      </c>
    </row>
    <row r="12" spans="1:21" x14ac:dyDescent="0.35">
      <c r="A12" s="37">
        <v>11</v>
      </c>
      <c r="B12" s="37">
        <v>24</v>
      </c>
      <c r="C12" s="38">
        <v>45838.416168981479</v>
      </c>
      <c r="D12" s="5">
        <f>_xlfn.XLOOKUP(_xlfn.XLOOKUP($B12, ProductOrderParts!$A:$A, ProductOrderParts!$B:$B), ProductOrders!$A:$A, ProductOrders!$C:$C)</f>
        <v>50203</v>
      </c>
      <c r="E12" s="5" t="str">
        <f>_xlfn.XLOOKUP(_xlfn.XLOOKUP($B12, ProductOrderParts!$A:$A, ProductOrderParts!$B:$B), ProductOrders!$A:$A, ProductOrders!$D:$D)</f>
        <v>DAWN VME</v>
      </c>
      <c r="F12" s="5" t="str">
        <f>_xlfn.XLOOKUP(_xlfn.XLOOKUP($B12, ProductOrderParts!$A:$A, ProductOrderParts!$C:$C), Parts!$A:$A, Parts!$C:$C)</f>
        <v>10-1020636</v>
      </c>
      <c r="G12" s="5" t="str">
        <f>_xlfn.XLOOKUP(_xlfn.XLOOKUP($B12, ProductOrderParts!$A:$A, ProductOrderParts!$C:$C), Parts!$A:$A, Parts!$D:$D)</f>
        <v>COVER, FRONT, 265, PS, AIR COOLED, 1.2INCH CSTM 90</v>
      </c>
      <c r="H12" s="7">
        <v>40</v>
      </c>
      <c r="I12" s="5">
        <f>_xlfn.XLOOKUP($B12, ProductOrderParts!$A:$A, ProductOrderParts!$I:$I)</f>
        <v>10</v>
      </c>
      <c r="J12" s="7">
        <v>1.3483099999999999</v>
      </c>
      <c r="K12" s="9">
        <v>0.5</v>
      </c>
      <c r="L12" s="11">
        <f t="shared" si="0"/>
        <v>7.787526607382576</v>
      </c>
      <c r="M12" s="7"/>
      <c r="N12" s="13"/>
      <c r="O12" s="13"/>
      <c r="P12" s="15" t="str">
        <f>_xlfn.XLOOKUP($B12, ProductOrderParts!$A:$A, ProductOrderParts!$J:$J)</f>
        <v>ASAP</v>
      </c>
      <c r="Q12" s="7">
        <v>0</v>
      </c>
      <c r="R12" s="5" t="str">
        <f>_xlfn.XLOOKUP($B12, ProductOrderParts!$A:$A, ProductOrderParts!$K:$K)</f>
        <v>Not Ordered</v>
      </c>
      <c r="S12" s="7"/>
      <c r="T12" s="7"/>
      <c r="U12" s="5">
        <v>0</v>
      </c>
    </row>
    <row r="13" spans="1:21" x14ac:dyDescent="0.35">
      <c r="A13" s="39">
        <v>13</v>
      </c>
      <c r="B13" s="39">
        <v>24</v>
      </c>
      <c r="C13" s="40">
        <v>45839.381342592591</v>
      </c>
      <c r="D13" s="6">
        <f>_xlfn.XLOOKUP(_xlfn.XLOOKUP($B13, ProductOrderParts!$A:$A, ProductOrderParts!$B:$B), ProductOrders!$A:$A, ProductOrders!$C:$C)</f>
        <v>50203</v>
      </c>
      <c r="E13" s="6" t="str">
        <f>_xlfn.XLOOKUP(_xlfn.XLOOKUP($B13, ProductOrderParts!$A:$A, ProductOrderParts!$B:$B), ProductOrders!$A:$A, ProductOrders!$D:$D)</f>
        <v>DAWN VME</v>
      </c>
      <c r="F13" s="6" t="str">
        <f>_xlfn.XLOOKUP(_xlfn.XLOOKUP($B13, ProductOrderParts!$A:$A, ProductOrderParts!$C:$C), Parts!$A:$A, Parts!$C:$C)</f>
        <v>10-1020636</v>
      </c>
      <c r="G13" s="6" t="str">
        <f>_xlfn.XLOOKUP(_xlfn.XLOOKUP($B13, ProductOrderParts!$A:$A, ProductOrderParts!$C:$C), Parts!$A:$A, Parts!$D:$D)</f>
        <v>COVER, FRONT, 265, PS, AIR COOLED, 1.2INCH CSTM 90</v>
      </c>
      <c r="H13" s="8" t="s">
        <v>1214</v>
      </c>
      <c r="I13" s="6">
        <f>_xlfn.XLOOKUP($B13, ProductOrderParts!$A:$A, ProductOrderParts!$I:$I)</f>
        <v>10</v>
      </c>
      <c r="J13" s="8">
        <v>1</v>
      </c>
      <c r="K13" s="10">
        <v>0</v>
      </c>
      <c r="L13" s="12">
        <f t="shared" si="0"/>
        <v>8</v>
      </c>
      <c r="M13" s="8" t="s">
        <v>1030</v>
      </c>
      <c r="N13" s="14">
        <v>45839.381296296298</v>
      </c>
      <c r="O13" s="14">
        <v>45839.714629629627</v>
      </c>
      <c r="P13" s="16" t="str">
        <f>_xlfn.XLOOKUP($B13, ProductOrderParts!$A:$A, ProductOrderParts!$J:$J)</f>
        <v>ASAP</v>
      </c>
      <c r="Q13" s="8">
        <v>2</v>
      </c>
      <c r="R13" s="6" t="str">
        <f>_xlfn.XLOOKUP($B13, ProductOrderParts!$A:$A, ProductOrderParts!$K:$K)</f>
        <v>Not Ordered</v>
      </c>
      <c r="S13" s="8" t="s">
        <v>5</v>
      </c>
      <c r="T13" s="8"/>
      <c r="U13" s="6">
        <v>0</v>
      </c>
    </row>
    <row r="16" spans="1:21" ht="13.5" customHeight="1" x14ac:dyDescent="0.35"/>
    <row r="100" spans="100:100" x14ac:dyDescent="0.35">
      <c r="CV100">
        <v>14</v>
      </c>
    </row>
  </sheetData>
  <dataConsolidate link="1"/>
  <conditionalFormatting sqref="R2:R13">
    <cfRule type="cellIs" dxfId="8" priority="1" stopIfTrue="1" operator="equal">
      <formula>"Not Ordered"</formula>
    </cfRule>
    <cfRule type="cellIs" dxfId="7" priority="2" stopIfTrue="1" operator="equal">
      <formula>"Ordered"</formula>
    </cfRule>
    <cfRule type="cellIs" dxfId="6" priority="3" stopIfTrue="1" operator="equal">
      <formula>"In House"</formula>
    </cfRule>
    <cfRule type="cellIs" dxfId="5" priority="4" stopIfTrue="1" operator="equal">
      <formula>"Customer Furnished"</formula>
    </cfRule>
    <cfRule type="cellIs" dxfId="4" priority="5" stopIfTrue="1" operator="equal">
      <formula>"Cutting in Progress"</formula>
    </cfRule>
    <cfRule type="cellIs" dxfId="3" priority="6" stopIfTrue="1" operator="equal">
      <formula>"Cut"</formula>
    </cfRule>
  </conditionalFormatting>
  <conditionalFormatting sqref="S2:S13">
    <cfRule type="cellIs" dxfId="2" priority="7" stopIfTrue="1" operator="equal">
      <formula>"Not Yet Started"</formula>
    </cfRule>
    <cfRule type="cellIs" dxfId="1" priority="8" stopIfTrue="1" operator="equal">
      <formula>"In Progress"</formula>
    </cfRule>
    <cfRule type="cellIs" dxfId="0" priority="9" stopIfTrue="1" operator="equal">
      <formula>"Complete"</formula>
    </cfRule>
  </conditionalFormatting>
  <dataValidations count="3">
    <dataValidation type="list" allowBlank="1" showInputMessage="1" showErrorMessage="1" sqref="M2:M13" xr:uid="{62A2C18A-FD48-4A6E-BF17-0EA846519ACB}">
      <formula1>"DEFAULT,KIT 1,KIT 2,NHX,OKK,ROBO,TUM,SAW,Chris,"</formula1>
    </dataValidation>
    <dataValidation type="list" allowBlank="1" showInputMessage="1" showErrorMessage="1" sqref="R2:R13" xr:uid="{ED72E0A0-6B45-452D-A7FC-E372C0872D4A}">
      <formula1>"Not Ordered,Ordered,In House,Customer Furnished,Cutting in Progress,Cut,"</formula1>
    </dataValidation>
    <dataValidation type="list" allowBlank="1" showInputMessage="1" showErrorMessage="1" sqref="S2:S13" xr:uid="{2098BBF5-A7A0-4251-8AF1-FF987BD2995E}">
      <formula1>"Not Yet Started,In Progress,Complete,"</formula1>
    </dataValidation>
  </dataValidations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44F0F2-A8CD-4D5A-8BB7-C2B47AC60245}">
  <sheetPr codeName="Sheet5" filterMode="1"/>
  <dimension ref="A1:CV100"/>
  <sheetViews>
    <sheetView topLeftCell="I1" zoomScale="80" workbookViewId="0">
      <selection activeCell="O32" sqref="O32"/>
    </sheetView>
  </sheetViews>
  <sheetFormatPr defaultRowHeight="14.5" x14ac:dyDescent="0.35"/>
  <cols>
    <col min="1" max="1" width="6.08984375" customWidth="1"/>
    <col min="2" max="2" width="6.6328125" customWidth="1"/>
    <col min="3" max="3" width="6.36328125" customWidth="1"/>
    <col min="4" max="4" width="16.1796875" customWidth="1"/>
    <col min="5" max="5" width="19" customWidth="1"/>
    <col min="6" max="6" width="23.7265625" customWidth="1"/>
    <col min="7" max="7" width="32.453125" customWidth="1"/>
    <col min="8" max="8" width="13.453125" customWidth="1"/>
    <col min="9" max="9" width="9.7265625" customWidth="1"/>
    <col min="10" max="10" width="12.90625" customWidth="1"/>
    <col min="11" max="11" width="15.6328125" customWidth="1"/>
    <col min="12" max="12" width="22.6328125" customWidth="1"/>
    <col min="13" max="13" width="16.7265625" customWidth="1"/>
    <col min="14" max="14" width="14.26953125" bestFit="1" customWidth="1"/>
    <col min="15" max="15" width="14.81640625" bestFit="1" customWidth="1"/>
  </cols>
  <sheetData>
    <row r="1" spans="1:13" x14ac:dyDescent="0.35">
      <c r="A1" s="42" t="s">
        <v>1215</v>
      </c>
      <c r="B1" s="42" t="s">
        <v>1216</v>
      </c>
      <c r="C1" s="42" t="s">
        <v>1217</v>
      </c>
      <c r="D1" s="42" t="s">
        <v>6</v>
      </c>
      <c r="E1" s="42" t="s">
        <v>1198</v>
      </c>
      <c r="F1" s="42" t="s">
        <v>1200</v>
      </c>
      <c r="G1" s="42" t="s">
        <v>1201</v>
      </c>
      <c r="H1" s="42" t="s">
        <v>1218</v>
      </c>
      <c r="I1" s="42" t="s">
        <v>1029</v>
      </c>
      <c r="J1" s="42" t="s">
        <v>1209</v>
      </c>
      <c r="K1" s="42" t="s">
        <v>1213</v>
      </c>
      <c r="L1" s="42" t="s">
        <v>1211</v>
      </c>
      <c r="M1" s="42" t="s">
        <v>1219</v>
      </c>
    </row>
    <row r="2" spans="1:13" x14ac:dyDescent="0.35">
      <c r="A2" s="44">
        <v>1</v>
      </c>
      <c r="B2" s="43">
        <v>1</v>
      </c>
      <c r="C2" s="43">
        <v>411</v>
      </c>
      <c r="D2" s="47">
        <v>45838.330590277779</v>
      </c>
      <c r="E2" s="43">
        <f>_xlfn.XLOOKUP($B2, ProductOrders!$A:$A, ProductOrders!$C:$C)</f>
        <v>1552</v>
      </c>
      <c r="F2" s="44" t="str">
        <f>_xlfn.XLOOKUP($C2, Parts!$A:$A, Parts!$C:$C)</f>
        <v>OD-GXH50</v>
      </c>
      <c r="G2" s="44" t="str">
        <f>_xlfn.XLOOKUP($C2, Parts!$A:$A, Parts!$D:$D)</f>
        <v>GXH50 HONDA MOUNT</v>
      </c>
      <c r="H2" s="43" t="s">
        <v>31</v>
      </c>
      <c r="I2" s="43">
        <v>62</v>
      </c>
      <c r="J2" s="45">
        <v>45823</v>
      </c>
      <c r="K2" s="43" t="s">
        <v>1025</v>
      </c>
      <c r="L2" s="43" t="s">
        <v>26</v>
      </c>
      <c r="M2" s="43" t="s">
        <v>1026</v>
      </c>
    </row>
    <row r="3" spans="1:13" hidden="1" x14ac:dyDescent="0.35">
      <c r="A3" s="6">
        <v>2</v>
      </c>
      <c r="B3" s="8">
        <v>2</v>
      </c>
      <c r="C3" s="8">
        <v>601</v>
      </c>
      <c r="D3" s="48">
        <v>45838.330590277779</v>
      </c>
      <c r="E3" s="8">
        <f>_xlfn.XLOOKUP($B3, ProductOrders!$A:$A, ProductOrders!$C:$C)</f>
        <v>2779</v>
      </c>
      <c r="F3" s="6" t="str">
        <f>_xlfn.XLOOKUP($C3, Parts!$A:$A, Parts!$C:$C)</f>
        <v>XA-50300A</v>
      </c>
      <c r="G3" s="6" t="str">
        <f>_xlfn.XLOOKUP($C3, Parts!$A:$A, Parts!$D:$D)</f>
        <v>2.0 LEVER TOP CAM RH CAM ASSEMBLY</v>
      </c>
      <c r="H3" s="8" t="s">
        <v>982</v>
      </c>
      <c r="I3" s="8">
        <v>50</v>
      </c>
      <c r="J3" s="46">
        <v>45835</v>
      </c>
      <c r="K3" s="8" t="s">
        <v>1027</v>
      </c>
      <c r="L3" s="8" t="s">
        <v>1</v>
      </c>
      <c r="M3" s="8" t="s">
        <v>1032</v>
      </c>
    </row>
    <row r="4" spans="1:13" hidden="1" x14ac:dyDescent="0.35">
      <c r="A4" s="44">
        <v>3</v>
      </c>
      <c r="B4" s="43">
        <v>3</v>
      </c>
      <c r="C4" s="43">
        <v>6</v>
      </c>
      <c r="D4" s="47">
        <v>45838.330590277779</v>
      </c>
      <c r="E4" s="43">
        <f>_xlfn.XLOOKUP($B4, ProductOrders!$A:$A, ProductOrders!$C:$C)</f>
        <v>50024</v>
      </c>
      <c r="F4" s="44" t="str">
        <f>_xlfn.XLOOKUP($C4, Parts!$A:$A, Parts!$C:$C)</f>
        <v>10-1014813</v>
      </c>
      <c r="G4" s="44" t="str">
        <f>_xlfn.XLOOKUP($C4, Parts!$A:$A, Parts!$D:$D)</f>
        <v>GUIDE PLATE, CARD TOP MICROCAB</v>
      </c>
      <c r="H4" s="43">
        <v>4</v>
      </c>
      <c r="I4" s="43">
        <v>12</v>
      </c>
      <c r="J4" s="45">
        <v>45835</v>
      </c>
      <c r="K4" s="43" t="s">
        <v>1027</v>
      </c>
      <c r="L4" s="43" t="s">
        <v>1</v>
      </c>
      <c r="M4" s="43" t="s">
        <v>1032</v>
      </c>
    </row>
    <row r="5" spans="1:13" hidden="1" x14ac:dyDescent="0.35">
      <c r="A5" s="6">
        <v>4</v>
      </c>
      <c r="B5" s="8">
        <v>3</v>
      </c>
      <c r="C5" s="8">
        <v>7</v>
      </c>
      <c r="D5" s="48">
        <v>45838.330590277779</v>
      </c>
      <c r="E5" s="8">
        <f>_xlfn.XLOOKUP($B5, ProductOrders!$A:$A, ProductOrders!$C:$C)</f>
        <v>50024</v>
      </c>
      <c r="F5" s="6" t="str">
        <f>_xlfn.XLOOKUP($C5, Parts!$A:$A, Parts!$C:$C)</f>
        <v>10-1014814</v>
      </c>
      <c r="G5" s="6" t="str">
        <f>_xlfn.XLOOKUP($C5, Parts!$A:$A, Parts!$D:$D)</f>
        <v>GUIDE PLT, TOP, MICROLAB</v>
      </c>
      <c r="H5" s="8">
        <v>4</v>
      </c>
      <c r="I5" s="8">
        <v>12</v>
      </c>
      <c r="J5" s="46">
        <v>45835</v>
      </c>
      <c r="K5" s="8" t="s">
        <v>1033</v>
      </c>
      <c r="L5" s="8" t="s">
        <v>1</v>
      </c>
      <c r="M5" s="8" t="s">
        <v>1026</v>
      </c>
    </row>
    <row r="6" spans="1:13" hidden="1" x14ac:dyDescent="0.35">
      <c r="A6" s="44">
        <v>5</v>
      </c>
      <c r="B6" s="43">
        <v>4</v>
      </c>
      <c r="C6" s="43">
        <v>253</v>
      </c>
      <c r="D6" s="47">
        <v>45838.596666666665</v>
      </c>
      <c r="E6" s="43">
        <f>_xlfn.XLOOKUP($B6, ProductOrders!$A:$A, ProductOrders!$C:$C)</f>
        <v>50029</v>
      </c>
      <c r="F6" s="44" t="str">
        <f>_xlfn.XLOOKUP($C6, Parts!$A:$A, Parts!$C:$C)</f>
        <v>83-1600015-B</v>
      </c>
      <c r="G6" s="44" t="str">
        <f>_xlfn.XLOOKUP($C6, Parts!$A:$A, Parts!$D:$D)</f>
        <v>RAIL</v>
      </c>
      <c r="H6" s="43" t="s">
        <v>61</v>
      </c>
      <c r="I6" s="43">
        <v>10</v>
      </c>
      <c r="J6" s="45">
        <v>45835</v>
      </c>
      <c r="K6" s="43" t="s">
        <v>1033</v>
      </c>
      <c r="L6" s="43" t="s">
        <v>1</v>
      </c>
      <c r="M6" s="43" t="s">
        <v>1026</v>
      </c>
    </row>
    <row r="7" spans="1:13" hidden="1" x14ac:dyDescent="0.35">
      <c r="A7" s="6">
        <v>6</v>
      </c>
      <c r="B7" s="8">
        <v>4</v>
      </c>
      <c r="C7" s="8">
        <v>254</v>
      </c>
      <c r="D7" s="48">
        <v>45838.330590277779</v>
      </c>
      <c r="E7" s="8">
        <f>_xlfn.XLOOKUP($B7, ProductOrders!$A:$A, ProductOrders!$C:$C)</f>
        <v>50029</v>
      </c>
      <c r="F7" s="6" t="str">
        <f>_xlfn.XLOOKUP($C7, Parts!$A:$A, Parts!$C:$C)</f>
        <v>83-1600015-T</v>
      </c>
      <c r="G7" s="6" t="str">
        <f>_xlfn.XLOOKUP($C7, Parts!$A:$A, Parts!$D:$D)</f>
        <v>RAIL</v>
      </c>
      <c r="H7" s="8" t="s">
        <v>61</v>
      </c>
      <c r="I7" s="8">
        <v>10</v>
      </c>
      <c r="J7" s="46">
        <v>45856</v>
      </c>
      <c r="K7" s="8" t="s">
        <v>1027</v>
      </c>
      <c r="L7" s="8" t="s">
        <v>1</v>
      </c>
      <c r="M7" s="8" t="s">
        <v>1032</v>
      </c>
    </row>
    <row r="8" spans="1:13" hidden="1" x14ac:dyDescent="0.35">
      <c r="A8" s="44">
        <v>7</v>
      </c>
      <c r="B8" s="43">
        <v>5</v>
      </c>
      <c r="C8" s="43">
        <v>294</v>
      </c>
      <c r="D8" s="47">
        <v>45838.330590277779</v>
      </c>
      <c r="E8" s="43">
        <f>_xlfn.XLOOKUP($B8, ProductOrders!$A:$A, ProductOrders!$C:$C)</f>
        <v>800251</v>
      </c>
      <c r="F8" s="44" t="str">
        <f>_xlfn.XLOOKUP($C8, Parts!$A:$A, Parts!$C:$C)</f>
        <v>IQ-ENG-2278-02</v>
      </c>
      <c r="G8" s="44" t="str">
        <f>_xlfn.XLOOKUP($C8, Parts!$A:$A, Parts!$D:$D)</f>
        <v>RADIANCE HOUSING</v>
      </c>
      <c r="H8" s="43" t="s">
        <v>982</v>
      </c>
      <c r="I8" s="43">
        <v>500</v>
      </c>
      <c r="J8" s="45">
        <v>45856</v>
      </c>
      <c r="K8" s="43" t="s">
        <v>1027</v>
      </c>
      <c r="L8" s="43" t="s">
        <v>1</v>
      </c>
      <c r="M8" s="43" t="s">
        <v>1034</v>
      </c>
    </row>
    <row r="9" spans="1:13" hidden="1" x14ac:dyDescent="0.35">
      <c r="A9" s="6">
        <v>8</v>
      </c>
      <c r="B9" s="8">
        <v>5</v>
      </c>
      <c r="C9" s="8">
        <v>297</v>
      </c>
      <c r="D9" s="48">
        <v>45838.330590277779</v>
      </c>
      <c r="E9" s="8">
        <f>_xlfn.XLOOKUP($B9, ProductOrders!$A:$A, ProductOrders!$C:$C)</f>
        <v>800251</v>
      </c>
      <c r="F9" s="6" t="str">
        <f>_xlfn.XLOOKUP($C9, Parts!$A:$A, Parts!$C:$C)</f>
        <v>IQ-ENG-2280-01</v>
      </c>
      <c r="G9" s="6" t="str">
        <f>_xlfn.XLOOKUP($C9, Parts!$A:$A, Parts!$D:$D)</f>
        <v>RADIANCE COVER PLATE</v>
      </c>
      <c r="H9" s="8" t="s">
        <v>982</v>
      </c>
      <c r="I9" s="8">
        <v>500</v>
      </c>
      <c r="J9" s="46">
        <v>45856</v>
      </c>
      <c r="K9" s="8" t="s">
        <v>1027</v>
      </c>
      <c r="L9" s="8" t="s">
        <v>1</v>
      </c>
      <c r="M9" s="8" t="s">
        <v>1034</v>
      </c>
    </row>
    <row r="10" spans="1:13" x14ac:dyDescent="0.35">
      <c r="A10" s="44">
        <v>9</v>
      </c>
      <c r="B10" s="43">
        <v>5</v>
      </c>
      <c r="C10" s="43">
        <v>295</v>
      </c>
      <c r="D10" s="47">
        <v>45838.330590277779</v>
      </c>
      <c r="E10" s="43">
        <f>_xlfn.XLOOKUP($B10, ProductOrders!$A:$A, ProductOrders!$C:$C)</f>
        <v>800251</v>
      </c>
      <c r="F10" s="44" t="str">
        <f>_xlfn.XLOOKUP($C10, Parts!$A:$A, Parts!$C:$C)</f>
        <v>IQ-ENG-2279-02</v>
      </c>
      <c r="G10" s="44" t="str">
        <f>_xlfn.XLOOKUP($C10, Parts!$A:$A, Parts!$D:$D)</f>
        <v>RADIANCE DETECTOR MOUNT</v>
      </c>
      <c r="H10" s="43" t="s">
        <v>982</v>
      </c>
      <c r="I10" s="43">
        <v>500</v>
      </c>
      <c r="J10" s="45">
        <v>45856</v>
      </c>
      <c r="K10" s="43" t="s">
        <v>1033</v>
      </c>
      <c r="L10" s="43" t="s">
        <v>5</v>
      </c>
      <c r="M10" s="43" t="s">
        <v>1026</v>
      </c>
    </row>
    <row r="11" spans="1:13" x14ac:dyDescent="0.35">
      <c r="A11" s="6">
        <v>10</v>
      </c>
      <c r="B11" s="8">
        <v>6</v>
      </c>
      <c r="C11" s="8">
        <v>265</v>
      </c>
      <c r="D11" s="48">
        <v>45838.330590277779</v>
      </c>
      <c r="E11" s="8">
        <f>_xlfn.XLOOKUP($B11, ProductOrders!$A:$A, ProductOrders!$C:$C)</f>
        <v>50094</v>
      </c>
      <c r="F11" s="6" t="str">
        <f>_xlfn.XLOOKUP($C11, Parts!$A:$A, Parts!$C:$C)</f>
        <v>84-1600021-B</v>
      </c>
      <c r="G11" s="6" t="str">
        <f>_xlfn.XLOOKUP($C11, Parts!$A:$A, Parts!$D:$D)</f>
        <v>RAIL, BOTTOM</v>
      </c>
      <c r="H11" s="8" t="s">
        <v>90</v>
      </c>
      <c r="I11" s="8">
        <v>10</v>
      </c>
      <c r="J11" s="46">
        <v>45856</v>
      </c>
      <c r="K11" s="8" t="s">
        <v>1033</v>
      </c>
      <c r="L11" s="8" t="s">
        <v>5</v>
      </c>
      <c r="M11" s="8" t="s">
        <v>1026</v>
      </c>
    </row>
    <row r="12" spans="1:13" hidden="1" x14ac:dyDescent="0.35">
      <c r="A12" s="44">
        <v>11</v>
      </c>
      <c r="B12" s="43">
        <v>6</v>
      </c>
      <c r="C12" s="43">
        <v>266</v>
      </c>
      <c r="D12" s="47">
        <v>45838.330590277779</v>
      </c>
      <c r="E12" s="43">
        <f>_xlfn.XLOOKUP($B12, ProductOrders!$A:$A, ProductOrders!$C:$C)</f>
        <v>50094</v>
      </c>
      <c r="F12" s="44" t="str">
        <f>_xlfn.XLOOKUP($C12, Parts!$A:$A, Parts!$C:$C)</f>
        <v>84-1600021-T</v>
      </c>
      <c r="G12" s="44" t="str">
        <f>_xlfn.XLOOKUP($C12, Parts!$A:$A, Parts!$D:$D)</f>
        <v>RAIL, TOP</v>
      </c>
      <c r="H12" s="43" t="s">
        <v>90</v>
      </c>
      <c r="I12" s="43">
        <v>10</v>
      </c>
      <c r="J12" s="45">
        <v>45849</v>
      </c>
      <c r="K12" s="43" t="s">
        <v>1027</v>
      </c>
      <c r="L12" s="43" t="s">
        <v>1</v>
      </c>
      <c r="M12" s="43" t="s">
        <v>1032</v>
      </c>
    </row>
    <row r="13" spans="1:13" hidden="1" x14ac:dyDescent="0.35">
      <c r="A13" s="6">
        <v>12</v>
      </c>
      <c r="B13" s="8">
        <v>7</v>
      </c>
      <c r="C13" s="8">
        <v>602</v>
      </c>
      <c r="D13" s="48">
        <v>45838.330590277779</v>
      </c>
      <c r="E13" s="8">
        <f>_xlfn.XLOOKUP($B13, ProductOrders!$A:$A, ProductOrders!$C:$C)</f>
        <v>50110</v>
      </c>
      <c r="F13" s="6" t="str">
        <f>_xlfn.XLOOKUP($C13, Parts!$A:$A, Parts!$C:$C)</f>
        <v>25-1021149-01</v>
      </c>
      <c r="G13" s="6" t="str">
        <f>_xlfn.XLOOKUP($C13, Parts!$A:$A, Parts!$D:$D)</f>
        <v>HOUSING, LEFT</v>
      </c>
      <c r="H13" s="8" t="s">
        <v>31</v>
      </c>
      <c r="I13" s="8">
        <v>25</v>
      </c>
      <c r="J13" s="46">
        <v>45849</v>
      </c>
      <c r="K13" s="8" t="s">
        <v>1027</v>
      </c>
      <c r="L13" s="8" t="s">
        <v>1</v>
      </c>
      <c r="M13" s="8" t="s">
        <v>1032</v>
      </c>
    </row>
    <row r="14" spans="1:13" x14ac:dyDescent="0.35">
      <c r="A14" s="44">
        <v>13</v>
      </c>
      <c r="B14" s="43">
        <v>7</v>
      </c>
      <c r="C14" s="43">
        <v>603</v>
      </c>
      <c r="D14" s="47">
        <v>45838.330590277779</v>
      </c>
      <c r="E14" s="43">
        <f>_xlfn.XLOOKUP($B14, ProductOrders!$A:$A, ProductOrders!$C:$C)</f>
        <v>50110</v>
      </c>
      <c r="F14" s="44" t="str">
        <f>_xlfn.XLOOKUP($C14, Parts!$A:$A, Parts!$C:$C)</f>
        <v>25-1021149-02</v>
      </c>
      <c r="G14" s="44" t="str">
        <f>_xlfn.XLOOKUP($C14, Parts!$A:$A, Parts!$D:$D)</f>
        <v>HOUSING, RIGHT</v>
      </c>
      <c r="H14" s="43" t="s">
        <v>58</v>
      </c>
      <c r="I14" s="43">
        <v>25</v>
      </c>
      <c r="J14" s="45">
        <v>45849</v>
      </c>
      <c r="K14" s="43" t="s">
        <v>1027</v>
      </c>
      <c r="L14" s="43" t="s">
        <v>5</v>
      </c>
      <c r="M14" s="43" t="s">
        <v>1032</v>
      </c>
    </row>
    <row r="15" spans="1:13" hidden="1" x14ac:dyDescent="0.35">
      <c r="A15" s="6">
        <v>14</v>
      </c>
      <c r="B15" s="8">
        <v>7</v>
      </c>
      <c r="C15" s="8">
        <v>604</v>
      </c>
      <c r="D15" s="48">
        <v>45838.330590277779</v>
      </c>
      <c r="E15" s="8">
        <f>_xlfn.XLOOKUP($B15, ProductOrders!$A:$A, ProductOrders!$C:$C)</f>
        <v>50110</v>
      </c>
      <c r="F15" s="6" t="str">
        <f>_xlfn.XLOOKUP($C15, Parts!$A:$A, Parts!$C:$C)</f>
        <v>25-1021150</v>
      </c>
      <c r="G15" s="6" t="str">
        <f>_xlfn.XLOOKUP($C15, Parts!$A:$A, Parts!$D:$D)</f>
        <v>HINGE BAR</v>
      </c>
      <c r="H15" s="8" t="s">
        <v>58</v>
      </c>
      <c r="I15" s="8">
        <v>25</v>
      </c>
      <c r="J15" s="46">
        <v>45833</v>
      </c>
      <c r="K15" s="8" t="s">
        <v>1027</v>
      </c>
      <c r="L15" s="8" t="s">
        <v>1</v>
      </c>
      <c r="M15" s="8" t="s">
        <v>1032</v>
      </c>
    </row>
    <row r="16" spans="1:13" hidden="1" x14ac:dyDescent="0.35">
      <c r="A16" s="44">
        <v>15</v>
      </c>
      <c r="B16" s="43">
        <v>8</v>
      </c>
      <c r="C16" s="43">
        <v>409</v>
      </c>
      <c r="D16" s="47">
        <v>45838.330590277779</v>
      </c>
      <c r="E16" s="43">
        <f>_xlfn.XLOOKUP($B16, ProductOrders!$A:$A, ProductOrders!$C:$C)</f>
        <v>1676</v>
      </c>
      <c r="F16" s="44" t="str">
        <f>_xlfn.XLOOKUP($C16, Parts!$A:$A, Parts!$C:$C)</f>
        <v>OD-EZGP11-1</v>
      </c>
      <c r="G16" s="44" t="str">
        <f>_xlfn.XLOOKUP($C16, Parts!$A:$A, Parts!$D:$D)</f>
        <v>CAMERA MOUNT ISOLATOR, BOTTOM</v>
      </c>
      <c r="H16" s="43" t="s">
        <v>982</v>
      </c>
      <c r="I16" s="43">
        <v>1000</v>
      </c>
      <c r="J16" s="45">
        <v>45833</v>
      </c>
      <c r="K16" s="43" t="s">
        <v>1027</v>
      </c>
      <c r="L16" s="43" t="s">
        <v>1</v>
      </c>
      <c r="M16" s="43" t="s">
        <v>1032</v>
      </c>
    </row>
    <row r="17" spans="1:13" hidden="1" x14ac:dyDescent="0.35">
      <c r="A17" s="6">
        <v>16</v>
      </c>
      <c r="B17" s="8">
        <v>9</v>
      </c>
      <c r="C17" s="8">
        <v>410</v>
      </c>
      <c r="D17" s="48">
        <v>45838.330590277779</v>
      </c>
      <c r="E17" s="8">
        <f>_xlfn.XLOOKUP($B17, ProductOrders!$A:$A, ProductOrders!$C:$C)</f>
        <v>1677</v>
      </c>
      <c r="F17" s="6" t="str">
        <f>_xlfn.XLOOKUP($C17, Parts!$A:$A, Parts!$C:$C)</f>
        <v>OD-EZGP12-1</v>
      </c>
      <c r="G17" s="6" t="str">
        <f>_xlfn.XLOOKUP($C17, Parts!$A:$A, Parts!$D:$D)</f>
        <v>CAMERA MOUNT ISOLATOR, TOP</v>
      </c>
      <c r="H17" s="8" t="s">
        <v>982</v>
      </c>
      <c r="I17" s="8">
        <v>1000</v>
      </c>
      <c r="J17" s="46">
        <v>45838</v>
      </c>
      <c r="K17" s="8" t="s">
        <v>1027</v>
      </c>
      <c r="L17" s="8" t="s">
        <v>1</v>
      </c>
      <c r="M17" s="8" t="s">
        <v>1032</v>
      </c>
    </row>
    <row r="18" spans="1:13" hidden="1" x14ac:dyDescent="0.35">
      <c r="A18" s="44">
        <v>17</v>
      </c>
      <c r="B18" s="43">
        <v>10</v>
      </c>
      <c r="C18" s="43">
        <v>419</v>
      </c>
      <c r="D18" s="47">
        <v>45838.330590277779</v>
      </c>
      <c r="E18" s="43">
        <f>_xlfn.XLOOKUP($B18, ProductOrders!$A:$A, ProductOrders!$C:$C)</f>
        <v>1678</v>
      </c>
      <c r="F18" s="44" t="str">
        <f>_xlfn.XLOOKUP($C18, Parts!$A:$A, Parts!$C:$C)</f>
        <v>OD-LOWPRO-5</v>
      </c>
      <c r="G18" s="44" t="str">
        <f>_xlfn.XLOOKUP($C18, Parts!$A:$A, Parts!$D:$D)</f>
        <v>ODENTHAL LOW PROFILE 5 DEGREE MOUNT</v>
      </c>
      <c r="H18" s="43" t="s">
        <v>982</v>
      </c>
      <c r="I18" s="43">
        <v>100</v>
      </c>
      <c r="J18" s="45">
        <v>45853</v>
      </c>
      <c r="K18" s="43" t="s">
        <v>1027</v>
      </c>
      <c r="L18" s="43" t="s">
        <v>1</v>
      </c>
      <c r="M18" s="43" t="s">
        <v>1032</v>
      </c>
    </row>
    <row r="19" spans="1:13" hidden="1" x14ac:dyDescent="0.35">
      <c r="A19" s="6">
        <v>18</v>
      </c>
      <c r="B19" s="8">
        <v>11</v>
      </c>
      <c r="C19" s="8">
        <v>605</v>
      </c>
      <c r="D19" s="48">
        <v>45838.330590277779</v>
      </c>
      <c r="E19" s="8">
        <f>_xlfn.XLOOKUP($B19, ProductOrders!$A:$A, ProductOrders!$C:$C)</f>
        <v>1250</v>
      </c>
      <c r="F19" s="6" t="str">
        <f>_xlfn.XLOOKUP($C19, Parts!$A:$A, Parts!$C:$C)</f>
        <v>OB-CABLE ROD BRACKET</v>
      </c>
      <c r="G19" s="6" t="str">
        <f>_xlfn.XLOOKUP($C19, Parts!$A:$A, Parts!$D:$D)</f>
        <v>CABLE ROD BRACKET</v>
      </c>
      <c r="H19" s="8" t="s">
        <v>982</v>
      </c>
      <c r="I19" s="8">
        <v>500</v>
      </c>
      <c r="J19" s="46">
        <v>45849</v>
      </c>
      <c r="K19" s="8" t="s">
        <v>1027</v>
      </c>
      <c r="L19" s="8" t="s">
        <v>1</v>
      </c>
      <c r="M19" s="8" t="s">
        <v>1032</v>
      </c>
    </row>
    <row r="20" spans="1:13" hidden="1" x14ac:dyDescent="0.35">
      <c r="A20" s="44">
        <v>19</v>
      </c>
      <c r="B20" s="43">
        <v>12</v>
      </c>
      <c r="C20" s="43">
        <v>29</v>
      </c>
      <c r="D20" s="47">
        <v>45838.330590277779</v>
      </c>
      <c r="E20" s="43">
        <f>_xlfn.XLOOKUP($B20, ProductOrders!$A:$A, ProductOrders!$C:$C)</f>
        <v>50148</v>
      </c>
      <c r="F20" s="44" t="str">
        <f>_xlfn.XLOOKUP($C20, Parts!$A:$A, Parts!$C:$C)</f>
        <v>10-1018415</v>
      </c>
      <c r="G20" s="44" t="str">
        <f>_xlfn.XLOOKUP($C20, Parts!$A:$A, Parts!$D:$D)</f>
        <v>STIFFENER</v>
      </c>
      <c r="H20" s="43" t="s">
        <v>31</v>
      </c>
      <c r="I20" s="43">
        <v>50</v>
      </c>
      <c r="J20" s="45">
        <v>45848</v>
      </c>
      <c r="K20" s="43" t="s">
        <v>1027</v>
      </c>
      <c r="L20" s="43" t="s">
        <v>1</v>
      </c>
      <c r="M20" s="43" t="s">
        <v>1028</v>
      </c>
    </row>
    <row r="21" spans="1:13" x14ac:dyDescent="0.35">
      <c r="A21" s="6">
        <v>20</v>
      </c>
      <c r="B21" s="8">
        <v>13</v>
      </c>
      <c r="C21" s="8">
        <v>559</v>
      </c>
      <c r="D21" s="48">
        <v>45839.366215277776</v>
      </c>
      <c r="E21" s="8">
        <f>_xlfn.XLOOKUP($B21, ProductOrders!$A:$A, ProductOrders!$C:$C)</f>
        <v>2035</v>
      </c>
      <c r="F21" s="6" t="str">
        <f>_xlfn.XLOOKUP($C21, Parts!$A:$A, Parts!$C:$C)</f>
        <v>GMK-310-0020</v>
      </c>
      <c r="G21" s="6" t="str">
        <f>_xlfn.XLOOKUP($C21, Parts!$A:$A, Parts!$D:$D)</f>
        <v>LEADING ROOT RIB (LEFT)</v>
      </c>
      <c r="H21" s="8" t="s">
        <v>982</v>
      </c>
      <c r="I21" s="8">
        <v>100</v>
      </c>
      <c r="J21" s="46">
        <v>45848</v>
      </c>
      <c r="K21" s="8" t="s">
        <v>1027</v>
      </c>
      <c r="L21" s="8" t="s">
        <v>5</v>
      </c>
      <c r="M21" s="8" t="s">
        <v>1026</v>
      </c>
    </row>
    <row r="22" spans="1:13" x14ac:dyDescent="0.35">
      <c r="A22" s="44">
        <v>21</v>
      </c>
      <c r="B22" s="43">
        <v>14</v>
      </c>
      <c r="C22" s="43">
        <v>400</v>
      </c>
      <c r="D22" s="47">
        <v>45838.330590277779</v>
      </c>
      <c r="E22" s="43">
        <f>_xlfn.XLOOKUP($B22, ProductOrders!$A:$A, ProductOrders!$C:$C)</f>
        <v>1686</v>
      </c>
      <c r="F22" s="44" t="str">
        <f>_xlfn.XLOOKUP($C22, Parts!$A:$A, Parts!$C:$C)</f>
        <v>OD-EZGP03-1</v>
      </c>
      <c r="G22" s="44" t="str">
        <f>_xlfn.XLOOKUP($C22, Parts!$A:$A, Parts!$D:$D)</f>
        <v>DUAL TOP PLATE</v>
      </c>
      <c r="H22" s="43" t="s">
        <v>982</v>
      </c>
      <c r="I22" s="43">
        <v>216</v>
      </c>
      <c r="J22" s="45">
        <v>45848</v>
      </c>
      <c r="K22" s="43" t="s">
        <v>1027</v>
      </c>
      <c r="L22" s="43" t="s">
        <v>5</v>
      </c>
      <c r="M22" s="43" t="s">
        <v>1026</v>
      </c>
    </row>
    <row r="23" spans="1:13" x14ac:dyDescent="0.35">
      <c r="A23" s="6">
        <v>22</v>
      </c>
      <c r="B23" s="8">
        <v>15</v>
      </c>
      <c r="C23" s="8">
        <v>401</v>
      </c>
      <c r="D23" s="48">
        <v>45838.330590277779</v>
      </c>
      <c r="E23" s="8">
        <f>_xlfn.XLOOKUP($B23, ProductOrders!$A:$A, ProductOrders!$C:$C)</f>
        <v>1685</v>
      </c>
      <c r="F23" s="6" t="str">
        <f>_xlfn.XLOOKUP($C23, Parts!$A:$A, Parts!$C:$C)</f>
        <v>OD-EZGP04-1</v>
      </c>
      <c r="G23" s="6" t="str">
        <f>_xlfn.XLOOKUP($C23, Parts!$A:$A, Parts!$D:$D)</f>
        <v>SINGLE TOP PLATE</v>
      </c>
      <c r="H23" s="8" t="s">
        <v>982</v>
      </c>
      <c r="I23" s="8">
        <v>1020</v>
      </c>
      <c r="J23" s="46">
        <v>45869</v>
      </c>
      <c r="K23" s="8" t="s">
        <v>1033</v>
      </c>
      <c r="L23" s="8" t="s">
        <v>5</v>
      </c>
      <c r="M23" s="8" t="s">
        <v>1026</v>
      </c>
    </row>
    <row r="24" spans="1:13" x14ac:dyDescent="0.35">
      <c r="A24" s="44">
        <v>23</v>
      </c>
      <c r="B24" s="43">
        <v>16</v>
      </c>
      <c r="C24" s="43">
        <v>163</v>
      </c>
      <c r="D24" s="47">
        <v>45838.330590277779</v>
      </c>
      <c r="E24" s="43">
        <f>_xlfn.XLOOKUP($B24, ProductOrders!$A:$A, ProductOrders!$C:$C)</f>
        <v>234234</v>
      </c>
      <c r="F24" s="44" t="str">
        <f>_xlfn.XLOOKUP($C24, Parts!$A:$A, Parts!$C:$C)</f>
        <v>125-12240109</v>
      </c>
      <c r="G24" s="44" t="str">
        <f>_xlfn.XLOOKUP($C24, Parts!$A:$A, Parts!$D:$D)</f>
        <v>MACHINED EXTRUSION, RECIEVER</v>
      </c>
      <c r="H24" s="43" t="s">
        <v>38</v>
      </c>
      <c r="I24" s="43">
        <v>2092</v>
      </c>
      <c r="J24" s="45">
        <v>45891</v>
      </c>
      <c r="K24" s="43" t="s">
        <v>1035</v>
      </c>
      <c r="L24" s="43" t="s">
        <v>26</v>
      </c>
      <c r="M24" s="43" t="s">
        <v>1026</v>
      </c>
    </row>
    <row r="25" spans="1:13" x14ac:dyDescent="0.35">
      <c r="A25" s="6">
        <v>24</v>
      </c>
      <c r="B25" s="8">
        <v>17</v>
      </c>
      <c r="C25" s="8">
        <v>52</v>
      </c>
      <c r="D25" s="48">
        <v>45839.363657407404</v>
      </c>
      <c r="E25" s="8">
        <f>_xlfn.XLOOKUP($B25, ProductOrders!$A:$A, ProductOrders!$C:$C)</f>
        <v>50203</v>
      </c>
      <c r="F25" s="6" t="str">
        <f>_xlfn.XLOOKUP($C25, Parts!$A:$A, Parts!$C:$C)</f>
        <v>10-1020636</v>
      </c>
      <c r="G25" s="6" t="str">
        <f>_xlfn.XLOOKUP($C25, Parts!$A:$A, Parts!$D:$D)</f>
        <v>COVER, FRONT, 265, PS, AIR COOLED, 1.2INCH CSTM 90</v>
      </c>
      <c r="H25" s="8" t="s">
        <v>31</v>
      </c>
      <c r="I25" s="8">
        <v>10</v>
      </c>
      <c r="J25" s="8" t="s">
        <v>1024</v>
      </c>
      <c r="K25" s="8" t="s">
        <v>1025</v>
      </c>
      <c r="L25" s="8" t="s">
        <v>26</v>
      </c>
      <c r="M25" s="8" t="s">
        <v>1026</v>
      </c>
    </row>
    <row r="26" spans="1:13" x14ac:dyDescent="0.35">
      <c r="A26" s="44">
        <v>25</v>
      </c>
      <c r="B26" s="43">
        <v>17</v>
      </c>
      <c r="C26" s="43">
        <v>592</v>
      </c>
      <c r="D26" s="47">
        <v>45839.365601851852</v>
      </c>
      <c r="E26" s="43">
        <f>_xlfn.XLOOKUP($B26, ProductOrders!$A:$A, ProductOrders!$C:$C)</f>
        <v>50203</v>
      </c>
      <c r="F26" s="44" t="str">
        <f>_xlfn.XLOOKUP($C26, Parts!$A:$A, Parts!$C:$C)</f>
        <v>OD-ESM0D1</v>
      </c>
      <c r="G26" s="44" t="str">
        <f>_xlfn.XLOOKUP($C26, Parts!$A:$A, Parts!$D:$D)</f>
        <v>0 DEGREE EZ-SET SLIDER MOUNT</v>
      </c>
      <c r="H26" s="43"/>
      <c r="I26" s="43">
        <v>0</v>
      </c>
      <c r="J26" s="72">
        <v>45839.365601851852</v>
      </c>
      <c r="K26" s="43" t="s">
        <v>1025</v>
      </c>
      <c r="L26" s="43" t="s">
        <v>26</v>
      </c>
      <c r="M26" s="43" t="s">
        <v>1026</v>
      </c>
    </row>
    <row r="100" spans="100:100" x14ac:dyDescent="0.35">
      <c r="CV100">
        <v>26</v>
      </c>
    </row>
  </sheetData>
  <autoFilter ref="L1:L26" xr:uid="{8144F0F2-A8CD-4D5A-8BB7-C2B47AC60245}">
    <filterColumn colId="0">
      <customFilters>
        <customFilter operator="notEqual" val="Complete"/>
      </customFilters>
    </filterColumn>
  </autoFilter>
  <conditionalFormatting sqref="K2:K26">
    <cfRule type="cellIs" dxfId="41" priority="1" stopIfTrue="1" operator="equal">
      <formula>"Not Ordered"</formula>
    </cfRule>
    <cfRule type="cellIs" dxfId="40" priority="2" stopIfTrue="1" operator="equal">
      <formula>"Ordered"</formula>
    </cfRule>
    <cfRule type="cellIs" dxfId="39" priority="3" stopIfTrue="1" operator="equal">
      <formula>"In House"</formula>
    </cfRule>
    <cfRule type="cellIs" dxfId="38" priority="4" stopIfTrue="1" operator="equal">
      <formula>"Customer Furnished"</formula>
    </cfRule>
    <cfRule type="cellIs" dxfId="37" priority="5" stopIfTrue="1" operator="equal">
      <formula>"Cutting in Progress"</formula>
    </cfRule>
    <cfRule type="cellIs" dxfId="36" priority="6" stopIfTrue="1" operator="equal">
      <formula>"Cut"</formula>
    </cfRule>
  </conditionalFormatting>
  <conditionalFormatting sqref="L2:L26">
    <cfRule type="cellIs" dxfId="35" priority="7" stopIfTrue="1" operator="equal">
      <formula>"Not Yet Started"</formula>
    </cfRule>
    <cfRule type="cellIs" dxfId="34" priority="8" stopIfTrue="1" operator="equal">
      <formula>"In Progress"</formula>
    </cfRule>
    <cfRule type="cellIs" dxfId="33" priority="9" stopIfTrue="1" operator="equal">
      <formula>"Complete"</formula>
    </cfRule>
  </conditionalFormatting>
  <conditionalFormatting sqref="M2:M26">
    <cfRule type="cellIs" dxfId="32" priority="10" stopIfTrue="1" operator="equal">
      <formula>"Not Ready"</formula>
    </cfRule>
    <cfRule type="cellIs" dxfId="31" priority="11" stopIfTrue="1" operator="equal">
      <formula>"Ready"</formula>
    </cfRule>
    <cfRule type="cellIs" dxfId="30" priority="12" stopIfTrue="1" operator="equal">
      <formula>"Dropped Off"</formula>
    </cfRule>
    <cfRule type="cellIs" dxfId="29" priority="13" stopIfTrue="1" operator="equal">
      <formula>"Ready for Pick-up"</formula>
    </cfRule>
    <cfRule type="cellIs" dxfId="28" priority="14" stopIfTrue="1" operator="equal">
      <formula>"Received"</formula>
    </cfRule>
    <cfRule type="cellIs" dxfId="27" priority="15" stopIfTrue="1" operator="equal">
      <formula>"Not Necessary"</formula>
    </cfRule>
  </conditionalFormatting>
  <dataValidations count="3">
    <dataValidation type="list" allowBlank="1" showInputMessage="1" showErrorMessage="1" sqref="K2:K26" xr:uid="{B9D3C3AD-D9DD-49AD-A047-82F2B0B09B35}">
      <formula1>"Not Ordered,Ordered,In House,Customer Furnished,Cutting in Progress,Cut,"</formula1>
    </dataValidation>
    <dataValidation type="list" allowBlank="1" showInputMessage="1" showErrorMessage="1" sqref="L2:L26" xr:uid="{F2470A58-AAB3-4D51-8026-EEABC33FDDDE}">
      <formula1>"Not Yet Started,In Progress,Complete,"</formula1>
    </dataValidation>
    <dataValidation type="list" allowBlank="1" showInputMessage="1" showErrorMessage="1" sqref="M2:M26" xr:uid="{E9A5C0D6-5598-44EF-9A9F-F0E0AC51FD09}">
      <formula1>"Not Ready,Ready,Dropped Off,Ready for Pick-up,Received,Not Necessary,"</formula1>
    </dataValidation>
  </dataValidation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F0D351-C90F-4F8A-8B0D-1F2AAFEA90C1}">
  <sheetPr codeName="Sheet6"/>
  <dimension ref="A1:CV100"/>
  <sheetViews>
    <sheetView zoomScale="96" workbookViewId="0">
      <selection activeCell="D18" sqref="D18"/>
    </sheetView>
  </sheetViews>
  <sheetFormatPr defaultRowHeight="14.5" x14ac:dyDescent="0.35"/>
  <cols>
    <col min="1" max="1" width="2.6328125" customWidth="1"/>
    <col min="2" max="2" width="15.6328125" customWidth="1"/>
    <col min="3" max="3" width="12.26953125" customWidth="1"/>
    <col min="4" max="4" width="21.81640625" customWidth="1"/>
    <col min="5" max="5" width="15.81640625" customWidth="1"/>
    <col min="6" max="6" width="21.26953125" customWidth="1"/>
    <col min="7" max="7" width="17.453125" customWidth="1"/>
  </cols>
  <sheetData>
    <row r="1" spans="1:6" x14ac:dyDescent="0.35">
      <c r="A1" s="49" t="s">
        <v>1216</v>
      </c>
      <c r="B1" s="49" t="s">
        <v>6</v>
      </c>
      <c r="C1" s="49" t="s">
        <v>1198</v>
      </c>
      <c r="D1" s="49" t="s">
        <v>1199</v>
      </c>
      <c r="E1" s="49" t="s">
        <v>1211</v>
      </c>
      <c r="F1" s="49" t="s">
        <v>1212</v>
      </c>
    </row>
    <row r="2" spans="1:6" x14ac:dyDescent="0.35">
      <c r="A2" s="51">
        <v>1</v>
      </c>
      <c r="B2" s="52">
        <v>45838.325729166667</v>
      </c>
      <c r="C2" s="50">
        <v>1552</v>
      </c>
      <c r="D2" s="50" t="s">
        <v>28</v>
      </c>
      <c r="E2" s="50" t="s">
        <v>26</v>
      </c>
      <c r="F2" s="50"/>
    </row>
    <row r="3" spans="1:6" x14ac:dyDescent="0.35">
      <c r="A3" s="6">
        <v>2</v>
      </c>
      <c r="B3" s="48">
        <v>45838.325729166667</v>
      </c>
      <c r="C3" s="8">
        <v>2779</v>
      </c>
      <c r="D3" s="8" t="s">
        <v>27</v>
      </c>
      <c r="E3" s="8" t="s">
        <v>26</v>
      </c>
      <c r="F3" s="8"/>
    </row>
    <row r="4" spans="1:6" x14ac:dyDescent="0.35">
      <c r="A4" s="51">
        <v>3</v>
      </c>
      <c r="B4" s="52">
        <v>45838.325729166667</v>
      </c>
      <c r="C4" s="50">
        <v>50024</v>
      </c>
      <c r="D4" s="50" t="s">
        <v>29</v>
      </c>
      <c r="E4" s="50" t="s">
        <v>1</v>
      </c>
      <c r="F4" s="50"/>
    </row>
    <row r="5" spans="1:6" x14ac:dyDescent="0.35">
      <c r="A5" s="6">
        <v>4</v>
      </c>
      <c r="B5" s="48">
        <v>45838.325729166667</v>
      </c>
      <c r="C5" s="8">
        <v>50029</v>
      </c>
      <c r="D5" s="8" t="s">
        <v>29</v>
      </c>
      <c r="E5" s="8" t="s">
        <v>5</v>
      </c>
      <c r="F5" s="8"/>
    </row>
    <row r="6" spans="1:6" x14ac:dyDescent="0.35">
      <c r="A6" s="51">
        <v>5</v>
      </c>
      <c r="B6" s="52">
        <v>45838.325729166667</v>
      </c>
      <c r="C6" s="50">
        <v>800251</v>
      </c>
      <c r="D6" s="50" t="s">
        <v>25</v>
      </c>
      <c r="E6" s="50" t="s">
        <v>1</v>
      </c>
      <c r="F6" s="50"/>
    </row>
    <row r="7" spans="1:6" x14ac:dyDescent="0.35">
      <c r="A7" s="6">
        <v>6</v>
      </c>
      <c r="B7" s="48">
        <v>45838.325729166667</v>
      </c>
      <c r="C7" s="8">
        <v>50094</v>
      </c>
      <c r="D7" s="8" t="s">
        <v>29</v>
      </c>
      <c r="E7" s="8" t="s">
        <v>26</v>
      </c>
      <c r="F7" s="8"/>
    </row>
    <row r="8" spans="1:6" x14ac:dyDescent="0.35">
      <c r="A8" s="51">
        <v>7</v>
      </c>
      <c r="B8" s="52">
        <v>45838.325729166667</v>
      </c>
      <c r="C8" s="50">
        <v>50110</v>
      </c>
      <c r="D8" s="50" t="s">
        <v>29</v>
      </c>
      <c r="E8" s="50" t="s">
        <v>5</v>
      </c>
      <c r="F8" s="50"/>
    </row>
    <row r="9" spans="1:6" x14ac:dyDescent="0.35">
      <c r="A9" s="6">
        <v>8</v>
      </c>
      <c r="B9" s="48">
        <v>45838.325729166667</v>
      </c>
      <c r="C9" s="8">
        <v>1676</v>
      </c>
      <c r="D9" s="8" t="s">
        <v>28</v>
      </c>
      <c r="E9" s="8" t="s">
        <v>1</v>
      </c>
      <c r="F9" s="8"/>
    </row>
    <row r="10" spans="1:6" x14ac:dyDescent="0.35">
      <c r="A10" s="51">
        <v>9</v>
      </c>
      <c r="B10" s="52">
        <v>45838.325729166667</v>
      </c>
      <c r="C10" s="50">
        <v>1677</v>
      </c>
      <c r="D10" s="50" t="s">
        <v>28</v>
      </c>
      <c r="E10" s="50" t="s">
        <v>1</v>
      </c>
      <c r="F10" s="50"/>
    </row>
    <row r="11" spans="1:6" x14ac:dyDescent="0.35">
      <c r="A11" s="6">
        <v>10</v>
      </c>
      <c r="B11" s="48">
        <v>45838.325729166667</v>
      </c>
      <c r="C11" s="8">
        <v>1678</v>
      </c>
      <c r="D11" s="8" t="s">
        <v>28</v>
      </c>
      <c r="E11" s="8" t="s">
        <v>1</v>
      </c>
      <c r="F11" s="8"/>
    </row>
    <row r="12" spans="1:6" x14ac:dyDescent="0.35">
      <c r="A12" s="51">
        <v>11</v>
      </c>
      <c r="B12" s="52">
        <v>45838.325729166667</v>
      </c>
      <c r="C12" s="50">
        <v>1250</v>
      </c>
      <c r="D12" s="50" t="s">
        <v>1036</v>
      </c>
      <c r="E12" s="50" t="s">
        <v>1</v>
      </c>
      <c r="F12" s="50"/>
    </row>
    <row r="13" spans="1:6" x14ac:dyDescent="0.35">
      <c r="A13" s="6">
        <v>12</v>
      </c>
      <c r="B13" s="48">
        <v>45838.325729166667</v>
      </c>
      <c r="C13" s="8">
        <v>50148</v>
      </c>
      <c r="D13" s="8" t="s">
        <v>29</v>
      </c>
      <c r="E13" s="8" t="s">
        <v>1</v>
      </c>
      <c r="F13" s="8"/>
    </row>
    <row r="14" spans="1:6" x14ac:dyDescent="0.35">
      <c r="A14" s="51">
        <v>13</v>
      </c>
      <c r="B14" s="52">
        <v>45838.325729166667</v>
      </c>
      <c r="C14" s="50">
        <v>2035</v>
      </c>
      <c r="D14" s="50" t="s">
        <v>1037</v>
      </c>
      <c r="E14" s="50" t="s">
        <v>1</v>
      </c>
      <c r="F14" s="50"/>
    </row>
    <row r="15" spans="1:6" x14ac:dyDescent="0.35">
      <c r="A15" s="6">
        <v>14</v>
      </c>
      <c r="B15" s="48">
        <v>45838.325729166667</v>
      </c>
      <c r="C15" s="8">
        <v>1686</v>
      </c>
      <c r="D15" s="8" t="s">
        <v>28</v>
      </c>
      <c r="E15" s="8" t="s">
        <v>5</v>
      </c>
      <c r="F15" s="8"/>
    </row>
    <row r="16" spans="1:6" x14ac:dyDescent="0.35">
      <c r="A16" s="51">
        <v>15</v>
      </c>
      <c r="B16" s="52">
        <v>45838.325729166667</v>
      </c>
      <c r="C16" s="50">
        <v>1685</v>
      </c>
      <c r="D16" s="50" t="s">
        <v>28</v>
      </c>
      <c r="E16" s="50" t="s">
        <v>5</v>
      </c>
      <c r="F16" s="50"/>
    </row>
    <row r="17" spans="1:6" x14ac:dyDescent="0.35">
      <c r="A17" s="6">
        <v>16</v>
      </c>
      <c r="B17" s="48">
        <v>45838.325729166667</v>
      </c>
      <c r="C17" s="8">
        <v>234234</v>
      </c>
      <c r="D17" s="8" t="s">
        <v>30</v>
      </c>
      <c r="E17" s="8" t="s">
        <v>5</v>
      </c>
      <c r="F17" s="8"/>
    </row>
    <row r="18" spans="1:6" x14ac:dyDescent="0.35">
      <c r="A18" s="51">
        <v>17</v>
      </c>
      <c r="B18" s="52">
        <v>45838.325729166667</v>
      </c>
      <c r="C18" s="50">
        <v>50203</v>
      </c>
      <c r="D18" s="50" t="s">
        <v>29</v>
      </c>
      <c r="E18" s="50" t="s">
        <v>26</v>
      </c>
      <c r="F18" s="50"/>
    </row>
    <row r="100" spans="100:100" x14ac:dyDescent="0.35">
      <c r="CV100">
        <v>18</v>
      </c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BDF2EB-AC40-4C1E-BBE7-E7B1774AFD0D}">
  <sheetPr codeName="Sheet4"/>
  <dimension ref="A1:CV607"/>
  <sheetViews>
    <sheetView zoomScale="57" workbookViewId="0">
      <selection activeCell="G15" sqref="G15"/>
    </sheetView>
  </sheetViews>
  <sheetFormatPr defaultRowHeight="14.5" x14ac:dyDescent="0.35"/>
  <cols>
    <col min="1" max="1" width="7.90625" bestFit="1" customWidth="1"/>
    <col min="2" max="2" width="16.6328125" customWidth="1"/>
    <col min="3" max="3" width="27.7265625" bestFit="1" customWidth="1"/>
    <col min="4" max="4" width="67.36328125" bestFit="1" customWidth="1"/>
    <col min="5" max="5" width="14.26953125" bestFit="1" customWidth="1"/>
    <col min="6" max="6" width="27.54296875" bestFit="1" customWidth="1"/>
  </cols>
  <sheetData>
    <row r="1" spans="1:6" x14ac:dyDescent="0.35">
      <c r="A1" s="53" t="s">
        <v>1217</v>
      </c>
      <c r="B1" s="53" t="s">
        <v>6</v>
      </c>
      <c r="C1" s="53" t="s">
        <v>1200</v>
      </c>
      <c r="D1" s="53" t="s">
        <v>1201</v>
      </c>
      <c r="E1" s="53" t="s">
        <v>1218</v>
      </c>
      <c r="F1" s="53" t="s">
        <v>1212</v>
      </c>
    </row>
    <row r="2" spans="1:6" x14ac:dyDescent="0.35">
      <c r="A2" s="54">
        <v>1</v>
      </c>
      <c r="B2" s="57">
        <v>45838.327835648146</v>
      </c>
      <c r="C2" s="55" t="s">
        <v>1038</v>
      </c>
      <c r="D2" s="55" t="s">
        <v>1039</v>
      </c>
      <c r="E2" s="55" t="s">
        <v>31</v>
      </c>
      <c r="F2" s="55"/>
    </row>
    <row r="3" spans="1:6" x14ac:dyDescent="0.35">
      <c r="A3" s="6">
        <v>2</v>
      </c>
      <c r="B3" s="48">
        <v>45839.360520833332</v>
      </c>
      <c r="C3" s="8" t="s">
        <v>32</v>
      </c>
      <c r="D3" s="8" t="s">
        <v>33</v>
      </c>
      <c r="E3" s="8"/>
      <c r="F3" s="8"/>
    </row>
    <row r="4" spans="1:6" x14ac:dyDescent="0.35">
      <c r="A4" s="54">
        <v>3</v>
      </c>
      <c r="B4" s="57">
        <v>45838.327835648146</v>
      </c>
      <c r="C4" s="55" t="s">
        <v>34</v>
      </c>
      <c r="D4" s="55" t="s">
        <v>35</v>
      </c>
      <c r="E4" s="55" t="s">
        <v>31</v>
      </c>
      <c r="F4" s="55"/>
    </row>
    <row r="5" spans="1:6" x14ac:dyDescent="0.35">
      <c r="A5" s="6">
        <v>4</v>
      </c>
      <c r="B5" s="48">
        <v>45838.327835648146</v>
      </c>
      <c r="C5" s="8" t="s">
        <v>36</v>
      </c>
      <c r="D5" s="8" t="s">
        <v>37</v>
      </c>
      <c r="E5" s="8" t="s">
        <v>38</v>
      </c>
      <c r="F5" s="8"/>
    </row>
    <row r="6" spans="1:6" x14ac:dyDescent="0.35">
      <c r="A6" s="54">
        <v>5</v>
      </c>
      <c r="B6" s="57">
        <v>45838.327835648146</v>
      </c>
      <c r="C6" s="55" t="s">
        <v>39</v>
      </c>
      <c r="D6" s="55" t="s">
        <v>40</v>
      </c>
      <c r="E6" s="55" t="s">
        <v>41</v>
      </c>
      <c r="F6" s="55"/>
    </row>
    <row r="7" spans="1:6" x14ac:dyDescent="0.35">
      <c r="A7" s="6">
        <v>6</v>
      </c>
      <c r="B7" s="48">
        <v>45838.327835648146</v>
      </c>
      <c r="C7" s="8" t="s">
        <v>42</v>
      </c>
      <c r="D7" s="8" t="s">
        <v>43</v>
      </c>
      <c r="E7" s="8">
        <v>4</v>
      </c>
      <c r="F7" s="8"/>
    </row>
    <row r="8" spans="1:6" x14ac:dyDescent="0.35">
      <c r="A8" s="54">
        <v>7</v>
      </c>
      <c r="B8" s="57">
        <v>45838.327835648146</v>
      </c>
      <c r="C8" s="55" t="s">
        <v>44</v>
      </c>
      <c r="D8" s="55" t="s">
        <v>45</v>
      </c>
      <c r="E8" s="55">
        <v>4</v>
      </c>
      <c r="F8" s="55"/>
    </row>
    <row r="9" spans="1:6" x14ac:dyDescent="0.35">
      <c r="A9" s="6">
        <v>8</v>
      </c>
      <c r="B9" s="48">
        <v>45838.327835648146</v>
      </c>
      <c r="C9" s="8" t="s">
        <v>46</v>
      </c>
      <c r="D9" s="8" t="s">
        <v>47</v>
      </c>
      <c r="E9" s="8">
        <v>4</v>
      </c>
      <c r="F9" s="8"/>
    </row>
    <row r="10" spans="1:6" x14ac:dyDescent="0.35">
      <c r="A10" s="54">
        <v>9</v>
      </c>
      <c r="B10" s="57">
        <v>45838.327835648146</v>
      </c>
      <c r="C10" s="55" t="s">
        <v>48</v>
      </c>
      <c r="D10" s="55" t="s">
        <v>49</v>
      </c>
      <c r="E10" s="55">
        <v>4</v>
      </c>
      <c r="F10" s="55"/>
    </row>
    <row r="11" spans="1:6" x14ac:dyDescent="0.35">
      <c r="A11" s="6">
        <v>10</v>
      </c>
      <c r="B11" s="48">
        <v>45838.327835648146</v>
      </c>
      <c r="C11" s="8" t="s">
        <v>50</v>
      </c>
      <c r="D11" s="8" t="s">
        <v>51</v>
      </c>
      <c r="E11" s="8" t="s">
        <v>52</v>
      </c>
      <c r="F11" s="8"/>
    </row>
    <row r="12" spans="1:6" x14ac:dyDescent="0.35">
      <c r="A12" s="54">
        <v>11</v>
      </c>
      <c r="B12" s="57">
        <v>45838.327835648146</v>
      </c>
      <c r="C12" s="55" t="s">
        <v>53</v>
      </c>
      <c r="D12" s="55" t="s">
        <v>51</v>
      </c>
      <c r="E12" s="55" t="s">
        <v>52</v>
      </c>
      <c r="F12" s="55"/>
    </row>
    <row r="13" spans="1:6" x14ac:dyDescent="0.35">
      <c r="A13" s="6">
        <v>12</v>
      </c>
      <c r="B13" s="48">
        <v>45838.327835648146</v>
      </c>
      <c r="C13" s="8" t="s">
        <v>54</v>
      </c>
      <c r="D13" s="8" t="s">
        <v>55</v>
      </c>
      <c r="E13" s="8" t="s">
        <v>31</v>
      </c>
      <c r="F13" s="8"/>
    </row>
    <row r="14" spans="1:6" x14ac:dyDescent="0.35">
      <c r="A14" s="54">
        <v>13</v>
      </c>
      <c r="B14" s="57">
        <v>45838.327835648146</v>
      </c>
      <c r="C14" s="55" t="s">
        <v>56</v>
      </c>
      <c r="D14" s="55" t="s">
        <v>57</v>
      </c>
      <c r="E14" s="55" t="s">
        <v>58</v>
      </c>
      <c r="F14" s="55"/>
    </row>
    <row r="15" spans="1:6" x14ac:dyDescent="0.35">
      <c r="A15" s="6">
        <v>14</v>
      </c>
      <c r="B15" s="48">
        <v>45838.327835648146</v>
      </c>
      <c r="C15" s="8" t="s">
        <v>59</v>
      </c>
      <c r="D15" s="8" t="s">
        <v>60</v>
      </c>
      <c r="E15" s="8" t="s">
        <v>61</v>
      </c>
      <c r="F15" s="8"/>
    </row>
    <row r="16" spans="1:6" x14ac:dyDescent="0.35">
      <c r="A16" s="54">
        <v>15</v>
      </c>
      <c r="B16" s="57">
        <v>45838.327835648146</v>
      </c>
      <c r="C16" s="55" t="s">
        <v>62</v>
      </c>
      <c r="D16" s="55" t="s">
        <v>63</v>
      </c>
      <c r="E16" s="55" t="s">
        <v>58</v>
      </c>
      <c r="F16" s="55"/>
    </row>
    <row r="17" spans="1:6" x14ac:dyDescent="0.35">
      <c r="A17" s="6">
        <v>16</v>
      </c>
      <c r="B17" s="48">
        <v>45838.327835648146</v>
      </c>
      <c r="C17" s="8" t="s">
        <v>64</v>
      </c>
      <c r="D17" s="8" t="s">
        <v>65</v>
      </c>
      <c r="E17" s="8" t="s">
        <v>58</v>
      </c>
      <c r="F17" s="8"/>
    </row>
    <row r="18" spans="1:6" x14ac:dyDescent="0.35">
      <c r="A18" s="54">
        <v>17</v>
      </c>
      <c r="B18" s="57">
        <v>45838.327835648146</v>
      </c>
      <c r="C18" s="55" t="s">
        <v>66</v>
      </c>
      <c r="D18" s="55" t="s">
        <v>65</v>
      </c>
      <c r="E18" s="55"/>
      <c r="F18" s="55"/>
    </row>
    <row r="19" spans="1:6" x14ac:dyDescent="0.35">
      <c r="A19" s="6">
        <v>18</v>
      </c>
      <c r="B19" s="48">
        <v>45838.327835648146</v>
      </c>
      <c r="C19" s="8" t="s">
        <v>67</v>
      </c>
      <c r="D19" s="8" t="s">
        <v>68</v>
      </c>
      <c r="E19" s="8" t="s">
        <v>61</v>
      </c>
      <c r="F19" s="8"/>
    </row>
    <row r="20" spans="1:6" x14ac:dyDescent="0.35">
      <c r="A20" s="54">
        <v>19</v>
      </c>
      <c r="B20" s="57">
        <v>45838.327835648146</v>
      </c>
      <c r="C20" s="55" t="s">
        <v>69</v>
      </c>
      <c r="D20" s="55" t="s">
        <v>70</v>
      </c>
      <c r="E20" s="55" t="s">
        <v>31</v>
      </c>
      <c r="F20" s="55"/>
    </row>
    <row r="21" spans="1:6" x14ac:dyDescent="0.35">
      <c r="A21" s="6">
        <v>20</v>
      </c>
      <c r="B21" s="48">
        <v>45838.327835648146</v>
      </c>
      <c r="C21" s="8" t="s">
        <v>71</v>
      </c>
      <c r="D21" s="8" t="s">
        <v>72</v>
      </c>
      <c r="E21" s="8" t="s">
        <v>73</v>
      </c>
      <c r="F21" s="8"/>
    </row>
    <row r="22" spans="1:6" x14ac:dyDescent="0.35">
      <c r="A22" s="54">
        <v>21</v>
      </c>
      <c r="B22" s="57">
        <v>45838.327835648146</v>
      </c>
      <c r="C22" s="55" t="s">
        <v>74</v>
      </c>
      <c r="D22" s="55" t="s">
        <v>75</v>
      </c>
      <c r="E22" s="55" t="s">
        <v>31</v>
      </c>
      <c r="F22" s="55"/>
    </row>
    <row r="23" spans="1:6" x14ac:dyDescent="0.35">
      <c r="A23" s="6">
        <v>22</v>
      </c>
      <c r="B23" s="48">
        <v>45838.327835648146</v>
      </c>
      <c r="C23" s="8" t="s">
        <v>76</v>
      </c>
      <c r="D23" s="8" t="s">
        <v>77</v>
      </c>
      <c r="E23" s="8" t="s">
        <v>31</v>
      </c>
      <c r="F23" s="8"/>
    </row>
    <row r="24" spans="1:6" x14ac:dyDescent="0.35">
      <c r="A24" s="54">
        <v>23</v>
      </c>
      <c r="B24" s="57">
        <v>45838.327835648146</v>
      </c>
      <c r="C24" s="55" t="s">
        <v>78</v>
      </c>
      <c r="D24" s="55" t="s">
        <v>79</v>
      </c>
      <c r="E24" s="55" t="s">
        <v>80</v>
      </c>
      <c r="F24" s="55"/>
    </row>
    <row r="25" spans="1:6" x14ac:dyDescent="0.35">
      <c r="A25" s="6">
        <v>24</v>
      </c>
      <c r="B25" s="48">
        <v>45838.327835648146</v>
      </c>
      <c r="C25" s="8" t="s">
        <v>81</v>
      </c>
      <c r="D25" s="8" t="s">
        <v>82</v>
      </c>
      <c r="E25" s="8" t="s">
        <v>83</v>
      </c>
      <c r="F25" s="8"/>
    </row>
    <row r="26" spans="1:6" x14ac:dyDescent="0.35">
      <c r="A26" s="54">
        <v>25</v>
      </c>
      <c r="B26" s="57">
        <v>45838.327835648146</v>
      </c>
      <c r="C26" s="55" t="s">
        <v>84</v>
      </c>
      <c r="D26" s="55" t="s">
        <v>85</v>
      </c>
      <c r="E26" s="55" t="s">
        <v>52</v>
      </c>
      <c r="F26" s="55"/>
    </row>
    <row r="27" spans="1:6" x14ac:dyDescent="0.35">
      <c r="A27" s="6">
        <v>26</v>
      </c>
      <c r="B27" s="48">
        <v>45838.327835648146</v>
      </c>
      <c r="C27" s="8" t="s">
        <v>86</v>
      </c>
      <c r="D27" s="8" t="s">
        <v>87</v>
      </c>
      <c r="E27" s="8" t="s">
        <v>58</v>
      </c>
      <c r="F27" s="8"/>
    </row>
    <row r="28" spans="1:6" x14ac:dyDescent="0.35">
      <c r="A28" s="54">
        <v>27</v>
      </c>
      <c r="B28" s="57">
        <v>45838.327835648146</v>
      </c>
      <c r="C28" s="55" t="s">
        <v>88</v>
      </c>
      <c r="D28" s="55" t="s">
        <v>89</v>
      </c>
      <c r="E28" s="55" t="s">
        <v>90</v>
      </c>
      <c r="F28" s="55"/>
    </row>
    <row r="29" spans="1:6" x14ac:dyDescent="0.35">
      <c r="A29" s="6">
        <v>28</v>
      </c>
      <c r="B29" s="48">
        <v>45838.327835648146</v>
      </c>
      <c r="C29" s="8" t="s">
        <v>91</v>
      </c>
      <c r="D29" s="8" t="s">
        <v>92</v>
      </c>
      <c r="E29" s="8"/>
      <c r="F29" s="8"/>
    </row>
    <row r="30" spans="1:6" x14ac:dyDescent="0.35">
      <c r="A30" s="54">
        <v>29</v>
      </c>
      <c r="B30" s="57">
        <v>45838.327835648146</v>
      </c>
      <c r="C30" s="55" t="s">
        <v>93</v>
      </c>
      <c r="D30" s="55" t="s">
        <v>33</v>
      </c>
      <c r="E30" s="55" t="s">
        <v>31</v>
      </c>
      <c r="F30" s="55"/>
    </row>
    <row r="31" spans="1:6" x14ac:dyDescent="0.35">
      <c r="A31" s="6">
        <v>30</v>
      </c>
      <c r="B31" s="48">
        <v>45838.327835648146</v>
      </c>
      <c r="C31" s="8" t="s">
        <v>94</v>
      </c>
      <c r="D31" s="8" t="s">
        <v>95</v>
      </c>
      <c r="E31" s="8" t="s">
        <v>80</v>
      </c>
      <c r="F31" s="8"/>
    </row>
    <row r="32" spans="1:6" x14ac:dyDescent="0.35">
      <c r="A32" s="54">
        <v>31</v>
      </c>
      <c r="B32" s="57">
        <v>45838.327835648146</v>
      </c>
      <c r="C32" s="55" t="s">
        <v>96</v>
      </c>
      <c r="D32" s="55" t="s">
        <v>97</v>
      </c>
      <c r="E32" s="55" t="s">
        <v>73</v>
      </c>
      <c r="F32" s="55"/>
    </row>
    <row r="33" spans="1:6" x14ac:dyDescent="0.35">
      <c r="A33" s="6">
        <v>32</v>
      </c>
      <c r="B33" s="48">
        <v>45838.327835648146</v>
      </c>
      <c r="C33" s="8" t="s">
        <v>98</v>
      </c>
      <c r="D33" s="8" t="s">
        <v>99</v>
      </c>
      <c r="E33" s="8" t="s">
        <v>52</v>
      </c>
      <c r="F33" s="8"/>
    </row>
    <row r="34" spans="1:6" x14ac:dyDescent="0.35">
      <c r="A34" s="54">
        <v>33</v>
      </c>
      <c r="B34" s="57">
        <v>45838.327835648146</v>
      </c>
      <c r="C34" s="55" t="s">
        <v>100</v>
      </c>
      <c r="D34" s="55" t="s">
        <v>101</v>
      </c>
      <c r="E34" s="55" t="s">
        <v>31</v>
      </c>
      <c r="F34" s="55"/>
    </row>
    <row r="35" spans="1:6" x14ac:dyDescent="0.35">
      <c r="A35" s="6">
        <v>34</v>
      </c>
      <c r="B35" s="48">
        <v>45838.327835648146</v>
      </c>
      <c r="C35" s="8" t="s">
        <v>102</v>
      </c>
      <c r="D35" s="8" t="s">
        <v>103</v>
      </c>
      <c r="E35" s="8" t="s">
        <v>104</v>
      </c>
      <c r="F35" s="8"/>
    </row>
    <row r="36" spans="1:6" x14ac:dyDescent="0.35">
      <c r="A36" s="54">
        <v>35</v>
      </c>
      <c r="B36" s="57">
        <v>45838.327835648146</v>
      </c>
      <c r="C36" s="55" t="s">
        <v>105</v>
      </c>
      <c r="D36" s="55" t="s">
        <v>106</v>
      </c>
      <c r="E36" s="55" t="s">
        <v>58</v>
      </c>
      <c r="F36" s="55"/>
    </row>
    <row r="37" spans="1:6" x14ac:dyDescent="0.35">
      <c r="A37" s="6">
        <v>36</v>
      </c>
      <c r="B37" s="48">
        <v>45838.327835648146</v>
      </c>
      <c r="C37" s="8" t="s">
        <v>107</v>
      </c>
      <c r="D37" s="8" t="s">
        <v>108</v>
      </c>
      <c r="E37" s="8" t="s">
        <v>109</v>
      </c>
      <c r="F37" s="8"/>
    </row>
    <row r="38" spans="1:6" x14ac:dyDescent="0.35">
      <c r="A38" s="54">
        <v>37</v>
      </c>
      <c r="B38" s="57">
        <v>45838.327835648146</v>
      </c>
      <c r="C38" s="55" t="s">
        <v>110</v>
      </c>
      <c r="D38" s="55" t="s">
        <v>111</v>
      </c>
      <c r="E38" s="55" t="s">
        <v>80</v>
      </c>
      <c r="F38" s="55"/>
    </row>
    <row r="39" spans="1:6" x14ac:dyDescent="0.35">
      <c r="A39" s="6">
        <v>38</v>
      </c>
      <c r="B39" s="48">
        <v>45838.327835648146</v>
      </c>
      <c r="C39" s="8" t="s">
        <v>112</v>
      </c>
      <c r="D39" s="8" t="s">
        <v>113</v>
      </c>
      <c r="E39" s="8" t="s">
        <v>31</v>
      </c>
      <c r="F39" s="8"/>
    </row>
    <row r="40" spans="1:6" x14ac:dyDescent="0.35">
      <c r="A40" s="54">
        <v>39</v>
      </c>
      <c r="B40" s="57">
        <v>45838.327835648146</v>
      </c>
      <c r="C40" s="55" t="s">
        <v>114</v>
      </c>
      <c r="D40" s="55" t="s">
        <v>115</v>
      </c>
      <c r="E40" s="55" t="s">
        <v>31</v>
      </c>
      <c r="F40" s="55"/>
    </row>
    <row r="41" spans="1:6" x14ac:dyDescent="0.35">
      <c r="A41" s="6">
        <v>40</v>
      </c>
      <c r="B41" s="48">
        <v>45838.327835648146</v>
      </c>
      <c r="C41" s="8" t="s">
        <v>116</v>
      </c>
      <c r="D41" s="8" t="s">
        <v>117</v>
      </c>
      <c r="E41" s="8" t="s">
        <v>58</v>
      </c>
      <c r="F41" s="8"/>
    </row>
    <row r="42" spans="1:6" x14ac:dyDescent="0.35">
      <c r="A42" s="54">
        <v>41</v>
      </c>
      <c r="B42" s="57">
        <v>45838.327835648146</v>
      </c>
      <c r="C42" s="55" t="s">
        <v>118</v>
      </c>
      <c r="D42" s="55" t="s">
        <v>119</v>
      </c>
      <c r="E42" s="55" t="s">
        <v>41</v>
      </c>
      <c r="F42" s="55"/>
    </row>
    <row r="43" spans="1:6" x14ac:dyDescent="0.35">
      <c r="A43" s="6">
        <v>42</v>
      </c>
      <c r="B43" s="48">
        <v>45838.327835648146</v>
      </c>
      <c r="C43" s="8" t="s">
        <v>120</v>
      </c>
      <c r="D43" s="8" t="s">
        <v>121</v>
      </c>
      <c r="E43" s="8" t="s">
        <v>38</v>
      </c>
      <c r="F43" s="8"/>
    </row>
    <row r="44" spans="1:6" x14ac:dyDescent="0.35">
      <c r="A44" s="54">
        <v>43</v>
      </c>
      <c r="B44" s="57">
        <v>45838.327835648146</v>
      </c>
      <c r="C44" s="55" t="s">
        <v>122</v>
      </c>
      <c r="D44" s="55" t="s">
        <v>123</v>
      </c>
      <c r="E44" s="55" t="s">
        <v>31</v>
      </c>
      <c r="F44" s="55"/>
    </row>
    <row r="45" spans="1:6" x14ac:dyDescent="0.35">
      <c r="A45" s="6">
        <v>44</v>
      </c>
      <c r="B45" s="48">
        <v>45838.327835648146</v>
      </c>
      <c r="C45" s="8" t="s">
        <v>124</v>
      </c>
      <c r="D45" s="8" t="s">
        <v>125</v>
      </c>
      <c r="E45" s="8" t="s">
        <v>31</v>
      </c>
      <c r="F45" s="8"/>
    </row>
    <row r="46" spans="1:6" x14ac:dyDescent="0.35">
      <c r="A46" s="54">
        <v>45</v>
      </c>
      <c r="B46" s="57">
        <v>45838.327835648146</v>
      </c>
      <c r="C46" s="55" t="s">
        <v>126</v>
      </c>
      <c r="D46" s="55" t="s">
        <v>127</v>
      </c>
      <c r="E46" s="55" t="s">
        <v>90</v>
      </c>
      <c r="F46" s="55"/>
    </row>
    <row r="47" spans="1:6" x14ac:dyDescent="0.35">
      <c r="A47" s="6">
        <v>46</v>
      </c>
      <c r="B47" s="48">
        <v>45838.327835648146</v>
      </c>
      <c r="C47" s="8" t="s">
        <v>128</v>
      </c>
      <c r="D47" s="8" t="s">
        <v>129</v>
      </c>
      <c r="E47" s="8" t="s">
        <v>31</v>
      </c>
      <c r="F47" s="8"/>
    </row>
    <row r="48" spans="1:6" x14ac:dyDescent="0.35">
      <c r="A48" s="54">
        <v>47</v>
      </c>
      <c r="B48" s="57">
        <v>45838.327835648146</v>
      </c>
      <c r="C48" s="55" t="s">
        <v>130</v>
      </c>
      <c r="D48" s="55" t="s">
        <v>131</v>
      </c>
      <c r="E48" s="55" t="s">
        <v>31</v>
      </c>
      <c r="F48" s="55"/>
    </row>
    <row r="49" spans="1:6" x14ac:dyDescent="0.35">
      <c r="A49" s="6">
        <v>48</v>
      </c>
      <c r="B49" s="48">
        <v>45838.327835648146</v>
      </c>
      <c r="C49" s="8" t="s">
        <v>132</v>
      </c>
      <c r="D49" s="8" t="s">
        <v>133</v>
      </c>
      <c r="E49" s="8" t="s">
        <v>31</v>
      </c>
      <c r="F49" s="8"/>
    </row>
    <row r="50" spans="1:6" x14ac:dyDescent="0.35">
      <c r="A50" s="54">
        <v>49</v>
      </c>
      <c r="B50" s="57">
        <v>45838.327835648146</v>
      </c>
      <c r="C50" s="55" t="s">
        <v>134</v>
      </c>
      <c r="D50" s="55" t="s">
        <v>135</v>
      </c>
      <c r="E50" s="55" t="s">
        <v>31</v>
      </c>
      <c r="F50" s="55"/>
    </row>
    <row r="51" spans="1:6" x14ac:dyDescent="0.35">
      <c r="A51" s="6">
        <v>50</v>
      </c>
      <c r="B51" s="48">
        <v>45838.327835648146</v>
      </c>
      <c r="C51" s="8" t="s">
        <v>136</v>
      </c>
      <c r="D51" s="8" t="s">
        <v>137</v>
      </c>
      <c r="E51" s="8" t="s">
        <v>61</v>
      </c>
      <c r="F51" s="8"/>
    </row>
    <row r="52" spans="1:6" x14ac:dyDescent="0.35">
      <c r="A52" s="54">
        <v>51</v>
      </c>
      <c r="B52" s="57">
        <v>45838.327835648146</v>
      </c>
      <c r="C52" s="55" t="s">
        <v>138</v>
      </c>
      <c r="D52" s="55" t="s">
        <v>139</v>
      </c>
      <c r="E52" s="55" t="s">
        <v>31</v>
      </c>
      <c r="F52" s="55"/>
    </row>
    <row r="53" spans="1:6" x14ac:dyDescent="0.35">
      <c r="A53" s="6">
        <v>52</v>
      </c>
      <c r="B53" s="48">
        <v>45838.327835648146</v>
      </c>
      <c r="C53" s="8" t="s">
        <v>140</v>
      </c>
      <c r="D53" s="8" t="s">
        <v>141</v>
      </c>
      <c r="E53" s="8" t="s">
        <v>31</v>
      </c>
      <c r="F53" s="8"/>
    </row>
    <row r="54" spans="1:6" x14ac:dyDescent="0.35">
      <c r="A54" s="54">
        <v>53</v>
      </c>
      <c r="B54" s="57">
        <v>45838.327835648146</v>
      </c>
      <c r="C54" s="55" t="s">
        <v>142</v>
      </c>
      <c r="D54" s="55" t="s">
        <v>143</v>
      </c>
      <c r="E54" s="55"/>
      <c r="F54" s="55"/>
    </row>
    <row r="55" spans="1:6" x14ac:dyDescent="0.35">
      <c r="A55" s="6">
        <v>54</v>
      </c>
      <c r="B55" s="48">
        <v>45838.327835648146</v>
      </c>
      <c r="C55" s="8" t="s">
        <v>144</v>
      </c>
      <c r="D55" s="8" t="s">
        <v>145</v>
      </c>
      <c r="E55" s="8"/>
      <c r="F55" s="8"/>
    </row>
    <row r="56" spans="1:6" x14ac:dyDescent="0.35">
      <c r="A56" s="54">
        <v>55</v>
      </c>
      <c r="B56" s="57">
        <v>45838.327835648146</v>
      </c>
      <c r="C56" s="55" t="s">
        <v>146</v>
      </c>
      <c r="D56" s="55" t="s">
        <v>147</v>
      </c>
      <c r="E56" s="55"/>
      <c r="F56" s="55"/>
    </row>
    <row r="57" spans="1:6" x14ac:dyDescent="0.35">
      <c r="A57" s="6">
        <v>56</v>
      </c>
      <c r="B57" s="48">
        <v>45838.327835648146</v>
      </c>
      <c r="C57" s="8" t="s">
        <v>148</v>
      </c>
      <c r="D57" s="8" t="s">
        <v>149</v>
      </c>
      <c r="E57" s="8" t="s">
        <v>58</v>
      </c>
      <c r="F57" s="8"/>
    </row>
    <row r="58" spans="1:6" x14ac:dyDescent="0.35">
      <c r="A58" s="54">
        <v>57</v>
      </c>
      <c r="B58" s="57">
        <v>45838.327835648146</v>
      </c>
      <c r="C58" s="55" t="s">
        <v>150</v>
      </c>
      <c r="D58" s="55" t="s">
        <v>151</v>
      </c>
      <c r="E58" s="55" t="s">
        <v>52</v>
      </c>
      <c r="F58" s="55"/>
    </row>
    <row r="59" spans="1:6" x14ac:dyDescent="0.35">
      <c r="A59" s="6">
        <v>58</v>
      </c>
      <c r="B59" s="48">
        <v>45838.327835648146</v>
      </c>
      <c r="C59" s="8" t="s">
        <v>152</v>
      </c>
      <c r="D59" s="8" t="s">
        <v>153</v>
      </c>
      <c r="E59" s="8" t="s">
        <v>52</v>
      </c>
      <c r="F59" s="8"/>
    </row>
    <row r="60" spans="1:6" x14ac:dyDescent="0.35">
      <c r="A60" s="54">
        <v>59</v>
      </c>
      <c r="B60" s="57">
        <v>45838.327835648146</v>
      </c>
      <c r="C60" s="55" t="s">
        <v>154</v>
      </c>
      <c r="D60" s="55" t="s">
        <v>155</v>
      </c>
      <c r="E60" s="55" t="s">
        <v>52</v>
      </c>
      <c r="F60" s="55"/>
    </row>
    <row r="61" spans="1:6" x14ac:dyDescent="0.35">
      <c r="A61" s="6">
        <v>60</v>
      </c>
      <c r="B61" s="48">
        <v>45838.327835648146</v>
      </c>
      <c r="C61" s="8" t="s">
        <v>156</v>
      </c>
      <c r="D61" s="8" t="s">
        <v>157</v>
      </c>
      <c r="E61" s="8"/>
      <c r="F61" s="8"/>
    </row>
    <row r="62" spans="1:6" x14ac:dyDescent="0.35">
      <c r="A62" s="54">
        <v>61</v>
      </c>
      <c r="B62" s="57">
        <v>45838.327835648146</v>
      </c>
      <c r="C62" s="55" t="s">
        <v>158</v>
      </c>
      <c r="D62" s="55" t="s">
        <v>159</v>
      </c>
      <c r="E62" s="55" t="s">
        <v>31</v>
      </c>
      <c r="F62" s="55"/>
    </row>
    <row r="63" spans="1:6" x14ac:dyDescent="0.35">
      <c r="A63" s="6">
        <v>62</v>
      </c>
      <c r="B63" s="48">
        <v>45838.327835648146</v>
      </c>
      <c r="C63" s="8" t="s">
        <v>160</v>
      </c>
      <c r="D63" s="8" t="s">
        <v>161</v>
      </c>
      <c r="E63" s="8" t="s">
        <v>52</v>
      </c>
      <c r="F63" s="8"/>
    </row>
    <row r="64" spans="1:6" x14ac:dyDescent="0.35">
      <c r="A64" s="54">
        <v>63</v>
      </c>
      <c r="B64" s="57">
        <v>45838.327835648146</v>
      </c>
      <c r="C64" s="55" t="s">
        <v>162</v>
      </c>
      <c r="D64" s="55" t="s">
        <v>163</v>
      </c>
      <c r="E64" s="55" t="s">
        <v>52</v>
      </c>
      <c r="F64" s="55"/>
    </row>
    <row r="65" spans="1:6" x14ac:dyDescent="0.35">
      <c r="A65" s="6">
        <v>64</v>
      </c>
      <c r="B65" s="48">
        <v>45838.327835648146</v>
      </c>
      <c r="C65" s="8" t="s">
        <v>164</v>
      </c>
      <c r="D65" s="8" t="s">
        <v>165</v>
      </c>
      <c r="E65" s="8" t="s">
        <v>58</v>
      </c>
      <c r="F65" s="8"/>
    </row>
    <row r="66" spans="1:6" x14ac:dyDescent="0.35">
      <c r="A66" s="54">
        <v>65</v>
      </c>
      <c r="B66" s="57">
        <v>45838.327835648146</v>
      </c>
      <c r="C66" s="55" t="s">
        <v>166</v>
      </c>
      <c r="D66" s="55" t="s">
        <v>167</v>
      </c>
      <c r="E66" s="55" t="s">
        <v>58</v>
      </c>
      <c r="F66" s="55"/>
    </row>
    <row r="67" spans="1:6" x14ac:dyDescent="0.35">
      <c r="A67" s="6">
        <v>66</v>
      </c>
      <c r="B67" s="48">
        <v>45838.327835648146</v>
      </c>
      <c r="C67" s="8" t="s">
        <v>168</v>
      </c>
      <c r="D67" s="8" t="s">
        <v>169</v>
      </c>
      <c r="E67" s="8" t="s">
        <v>52</v>
      </c>
      <c r="F67" s="8"/>
    </row>
    <row r="68" spans="1:6" x14ac:dyDescent="0.35">
      <c r="A68" s="54">
        <v>67</v>
      </c>
      <c r="B68" s="57">
        <v>45838.327835648146</v>
      </c>
      <c r="C68" s="55" t="s">
        <v>170</v>
      </c>
      <c r="D68" s="55" t="s">
        <v>171</v>
      </c>
      <c r="E68" s="55" t="s">
        <v>31</v>
      </c>
      <c r="F68" s="55"/>
    </row>
    <row r="69" spans="1:6" x14ac:dyDescent="0.35">
      <c r="A69" s="6">
        <v>68</v>
      </c>
      <c r="B69" s="48">
        <v>45838.327835648146</v>
      </c>
      <c r="C69" s="8" t="s">
        <v>172</v>
      </c>
      <c r="D69" s="8" t="s">
        <v>173</v>
      </c>
      <c r="E69" s="8" t="s">
        <v>52</v>
      </c>
      <c r="F69" s="8"/>
    </row>
    <row r="70" spans="1:6" x14ac:dyDescent="0.35">
      <c r="A70" s="54">
        <v>69</v>
      </c>
      <c r="B70" s="57">
        <v>45838.327835648146</v>
      </c>
      <c r="C70" s="55" t="s">
        <v>174</v>
      </c>
      <c r="D70" s="55" t="s">
        <v>175</v>
      </c>
      <c r="E70" s="55" t="s">
        <v>58</v>
      </c>
      <c r="F70" s="55"/>
    </row>
    <row r="71" spans="1:6" x14ac:dyDescent="0.35">
      <c r="A71" s="6">
        <v>70</v>
      </c>
      <c r="B71" s="48">
        <v>45838.327835648146</v>
      </c>
      <c r="C71" s="8" t="s">
        <v>176</v>
      </c>
      <c r="D71" s="8" t="s">
        <v>177</v>
      </c>
      <c r="E71" s="8" t="s">
        <v>31</v>
      </c>
      <c r="F71" s="8"/>
    </row>
    <row r="72" spans="1:6" x14ac:dyDescent="0.35">
      <c r="A72" s="54">
        <v>71</v>
      </c>
      <c r="B72" s="57">
        <v>45838.327835648146</v>
      </c>
      <c r="C72" s="55" t="s">
        <v>178</v>
      </c>
      <c r="D72" s="55" t="s">
        <v>179</v>
      </c>
      <c r="E72" s="55" t="s">
        <v>31</v>
      </c>
      <c r="F72" s="55"/>
    </row>
    <row r="73" spans="1:6" x14ac:dyDescent="0.35">
      <c r="A73" s="6">
        <v>72</v>
      </c>
      <c r="B73" s="48">
        <v>45838.327835648146</v>
      </c>
      <c r="C73" s="8" t="s">
        <v>180</v>
      </c>
      <c r="D73" s="8" t="s">
        <v>181</v>
      </c>
      <c r="E73" s="8"/>
      <c r="F73" s="8"/>
    </row>
    <row r="74" spans="1:6" x14ac:dyDescent="0.35">
      <c r="A74" s="54">
        <v>73</v>
      </c>
      <c r="B74" s="57">
        <v>45838.327835648146</v>
      </c>
      <c r="C74" s="55" t="s">
        <v>182</v>
      </c>
      <c r="D74" s="55" t="s">
        <v>183</v>
      </c>
      <c r="E74" s="55" t="s">
        <v>58</v>
      </c>
      <c r="F74" s="55"/>
    </row>
    <row r="75" spans="1:6" x14ac:dyDescent="0.35">
      <c r="A75" s="6">
        <v>74</v>
      </c>
      <c r="B75" s="48">
        <v>45838.327835648146</v>
      </c>
      <c r="C75" s="8" t="s">
        <v>184</v>
      </c>
      <c r="D75" s="8" t="s">
        <v>185</v>
      </c>
      <c r="E75" s="8" t="s">
        <v>31</v>
      </c>
      <c r="F75" s="8"/>
    </row>
    <row r="76" spans="1:6" x14ac:dyDescent="0.35">
      <c r="A76" s="54">
        <v>75</v>
      </c>
      <c r="B76" s="57">
        <v>45838.327835648146</v>
      </c>
      <c r="C76" s="55" t="s">
        <v>186</v>
      </c>
      <c r="D76" s="55" t="s">
        <v>187</v>
      </c>
      <c r="E76" s="55"/>
      <c r="F76" s="55"/>
    </row>
    <row r="77" spans="1:6" x14ac:dyDescent="0.35">
      <c r="A77" s="6">
        <v>76</v>
      </c>
      <c r="B77" s="48">
        <v>45838.327835648146</v>
      </c>
      <c r="C77" s="8" t="s">
        <v>188</v>
      </c>
      <c r="D77" s="8" t="s">
        <v>189</v>
      </c>
      <c r="E77" s="8" t="s">
        <v>58</v>
      </c>
      <c r="F77" s="8"/>
    </row>
    <row r="78" spans="1:6" x14ac:dyDescent="0.35">
      <c r="A78" s="54">
        <v>77</v>
      </c>
      <c r="B78" s="57">
        <v>45838.327835648146</v>
      </c>
      <c r="C78" s="55" t="s">
        <v>190</v>
      </c>
      <c r="D78" s="55" t="s">
        <v>191</v>
      </c>
      <c r="E78" s="55" t="s">
        <v>31</v>
      </c>
      <c r="F78" s="55"/>
    </row>
    <row r="79" spans="1:6" x14ac:dyDescent="0.35">
      <c r="A79" s="6">
        <v>78</v>
      </c>
      <c r="B79" s="48">
        <v>45838.327835648146</v>
      </c>
      <c r="C79" s="8" t="s">
        <v>192</v>
      </c>
      <c r="D79" s="8" t="s">
        <v>193</v>
      </c>
      <c r="E79" s="8" t="s">
        <v>58</v>
      </c>
      <c r="F79" s="8"/>
    </row>
    <row r="80" spans="1:6" x14ac:dyDescent="0.35">
      <c r="A80" s="54">
        <v>79</v>
      </c>
      <c r="B80" s="57">
        <v>45838.327835648146</v>
      </c>
      <c r="C80" s="55" t="s">
        <v>194</v>
      </c>
      <c r="D80" s="55" t="s">
        <v>195</v>
      </c>
      <c r="E80" s="55" t="s">
        <v>31</v>
      </c>
      <c r="F80" s="55"/>
    </row>
    <row r="81" spans="1:6" x14ac:dyDescent="0.35">
      <c r="A81" s="6">
        <v>80</v>
      </c>
      <c r="B81" s="48">
        <v>45838.327835648146</v>
      </c>
      <c r="C81" s="8" t="s">
        <v>196</v>
      </c>
      <c r="D81" s="8" t="s">
        <v>197</v>
      </c>
      <c r="E81" s="8" t="s">
        <v>31</v>
      </c>
      <c r="F81" s="8"/>
    </row>
    <row r="82" spans="1:6" x14ac:dyDescent="0.35">
      <c r="A82" s="54">
        <v>81</v>
      </c>
      <c r="B82" s="57">
        <v>45838.327835648146</v>
      </c>
      <c r="C82" s="55" t="s">
        <v>198</v>
      </c>
      <c r="D82" s="55" t="s">
        <v>199</v>
      </c>
      <c r="E82" s="55" t="s">
        <v>58</v>
      </c>
      <c r="F82" s="55"/>
    </row>
    <row r="83" spans="1:6" x14ac:dyDescent="0.35">
      <c r="A83" s="6">
        <v>82</v>
      </c>
      <c r="B83" s="48">
        <v>45838.327835648146</v>
      </c>
      <c r="C83" s="8" t="s">
        <v>200</v>
      </c>
      <c r="D83" s="8" t="s">
        <v>201</v>
      </c>
      <c r="E83" s="8" t="s">
        <v>58</v>
      </c>
      <c r="F83" s="8"/>
    </row>
    <row r="84" spans="1:6" x14ac:dyDescent="0.35">
      <c r="A84" s="54">
        <v>83</v>
      </c>
      <c r="B84" s="57">
        <v>45838.327835648146</v>
      </c>
      <c r="C84" s="55" t="s">
        <v>202</v>
      </c>
      <c r="D84" s="55" t="s">
        <v>203</v>
      </c>
      <c r="E84" s="55" t="s">
        <v>58</v>
      </c>
      <c r="F84" s="55"/>
    </row>
    <row r="85" spans="1:6" x14ac:dyDescent="0.35">
      <c r="A85" s="6">
        <v>84</v>
      </c>
      <c r="B85" s="48">
        <v>45838.327835648146</v>
      </c>
      <c r="C85" s="8" t="s">
        <v>204</v>
      </c>
      <c r="D85" s="8" t="s">
        <v>205</v>
      </c>
      <c r="E85" s="8" t="s">
        <v>31</v>
      </c>
      <c r="F85" s="8"/>
    </row>
    <row r="86" spans="1:6" x14ac:dyDescent="0.35">
      <c r="A86" s="54">
        <v>85</v>
      </c>
      <c r="B86" s="57">
        <v>45838.327835648146</v>
      </c>
      <c r="C86" s="55" t="s">
        <v>206</v>
      </c>
      <c r="D86" s="55" t="s">
        <v>207</v>
      </c>
      <c r="E86" s="55" t="s">
        <v>31</v>
      </c>
      <c r="F86" s="55"/>
    </row>
    <row r="87" spans="1:6" x14ac:dyDescent="0.35">
      <c r="A87" s="6">
        <v>86</v>
      </c>
      <c r="B87" s="48">
        <v>45838.327835648146</v>
      </c>
      <c r="C87" s="8" t="s">
        <v>208</v>
      </c>
      <c r="D87" s="8" t="s">
        <v>209</v>
      </c>
      <c r="E87" s="8" t="s">
        <v>31</v>
      </c>
      <c r="F87" s="8"/>
    </row>
    <row r="88" spans="1:6" x14ac:dyDescent="0.35">
      <c r="A88" s="54">
        <v>87</v>
      </c>
      <c r="B88" s="57">
        <v>45838.327835648146</v>
      </c>
      <c r="C88" s="55" t="s">
        <v>210</v>
      </c>
      <c r="D88" s="55" t="s">
        <v>211</v>
      </c>
      <c r="E88" s="55" t="s">
        <v>31</v>
      </c>
      <c r="F88" s="55"/>
    </row>
    <row r="89" spans="1:6" x14ac:dyDescent="0.35">
      <c r="A89" s="6">
        <v>88</v>
      </c>
      <c r="B89" s="48">
        <v>45838.327835648146</v>
      </c>
      <c r="C89" s="8" t="s">
        <v>212</v>
      </c>
      <c r="D89" s="8" t="s">
        <v>213</v>
      </c>
      <c r="E89" s="8" t="s">
        <v>58</v>
      </c>
      <c r="F89" s="8"/>
    </row>
    <row r="90" spans="1:6" x14ac:dyDescent="0.35">
      <c r="A90" s="54">
        <v>89</v>
      </c>
      <c r="B90" s="57">
        <v>45838.327835648146</v>
      </c>
      <c r="C90" s="55" t="s">
        <v>214</v>
      </c>
      <c r="D90" s="55" t="s">
        <v>215</v>
      </c>
      <c r="E90" s="55" t="s">
        <v>31</v>
      </c>
      <c r="F90" s="55"/>
    </row>
    <row r="91" spans="1:6" x14ac:dyDescent="0.35">
      <c r="A91" s="6">
        <v>90</v>
      </c>
      <c r="B91" s="48">
        <v>45838.327835648146</v>
      </c>
      <c r="C91" s="8" t="s">
        <v>216</v>
      </c>
      <c r="D91" s="8" t="s">
        <v>217</v>
      </c>
      <c r="E91" s="8" t="s">
        <v>58</v>
      </c>
      <c r="F91" s="8"/>
    </row>
    <row r="92" spans="1:6" x14ac:dyDescent="0.35">
      <c r="A92" s="54">
        <v>91</v>
      </c>
      <c r="B92" s="57">
        <v>45838.327835648146</v>
      </c>
      <c r="C92" s="55" t="s">
        <v>218</v>
      </c>
      <c r="D92" s="55" t="s">
        <v>219</v>
      </c>
      <c r="E92" s="55" t="s">
        <v>31</v>
      </c>
      <c r="F92" s="55"/>
    </row>
    <row r="93" spans="1:6" x14ac:dyDescent="0.35">
      <c r="A93" s="6">
        <v>92</v>
      </c>
      <c r="B93" s="48">
        <v>45838.327835648146</v>
      </c>
      <c r="C93" s="8" t="s">
        <v>220</v>
      </c>
      <c r="D93" s="8" t="s">
        <v>221</v>
      </c>
      <c r="E93" s="8" t="s">
        <v>58</v>
      </c>
      <c r="F93" s="8"/>
    </row>
    <row r="94" spans="1:6" x14ac:dyDescent="0.35">
      <c r="A94" s="54">
        <v>93</v>
      </c>
      <c r="B94" s="57">
        <v>45838.327835648146</v>
      </c>
      <c r="C94" s="55" t="s">
        <v>222</v>
      </c>
      <c r="D94" s="55" t="s">
        <v>223</v>
      </c>
      <c r="E94" s="55" t="s">
        <v>31</v>
      </c>
      <c r="F94" s="55"/>
    </row>
    <row r="95" spans="1:6" x14ac:dyDescent="0.35">
      <c r="A95" s="6">
        <v>94</v>
      </c>
      <c r="B95" s="48">
        <v>45838.327835648146</v>
      </c>
      <c r="C95" s="8" t="s">
        <v>224</v>
      </c>
      <c r="D95" s="8" t="s">
        <v>225</v>
      </c>
      <c r="E95" s="8" t="s">
        <v>31</v>
      </c>
      <c r="F95" s="8"/>
    </row>
    <row r="96" spans="1:6" x14ac:dyDescent="0.35">
      <c r="A96" s="54">
        <v>95</v>
      </c>
      <c r="B96" s="57">
        <v>45838.327835648146</v>
      </c>
      <c r="C96" s="55" t="s">
        <v>226</v>
      </c>
      <c r="D96" s="55" t="s">
        <v>227</v>
      </c>
      <c r="E96" s="55" t="s">
        <v>58</v>
      </c>
      <c r="F96" s="55"/>
    </row>
    <row r="97" spans="1:100" x14ac:dyDescent="0.35">
      <c r="A97" s="6">
        <v>96</v>
      </c>
      <c r="B97" s="48">
        <v>45838.327835648146</v>
      </c>
      <c r="C97" s="8" t="s">
        <v>228</v>
      </c>
      <c r="D97" s="8" t="s">
        <v>229</v>
      </c>
      <c r="E97" s="8"/>
      <c r="F97" s="8"/>
    </row>
    <row r="98" spans="1:100" x14ac:dyDescent="0.35">
      <c r="A98" s="54">
        <v>97</v>
      </c>
      <c r="B98" s="57">
        <v>45838.327835648146</v>
      </c>
      <c r="C98" s="55" t="s">
        <v>230</v>
      </c>
      <c r="D98" s="55" t="s">
        <v>231</v>
      </c>
      <c r="E98" s="55" t="s">
        <v>38</v>
      </c>
      <c r="F98" s="55"/>
    </row>
    <row r="99" spans="1:100" x14ac:dyDescent="0.35">
      <c r="A99" s="6">
        <v>98</v>
      </c>
      <c r="B99" s="48">
        <v>45838.327835648146</v>
      </c>
      <c r="C99" s="8" t="s">
        <v>232</v>
      </c>
      <c r="D99" s="8" t="s">
        <v>233</v>
      </c>
      <c r="E99" s="8" t="s">
        <v>58</v>
      </c>
      <c r="F99" s="8"/>
    </row>
    <row r="100" spans="1:100" x14ac:dyDescent="0.35">
      <c r="A100" s="54">
        <v>99</v>
      </c>
      <c r="B100" s="57">
        <v>45838.327835648146</v>
      </c>
      <c r="C100" s="55" t="s">
        <v>234</v>
      </c>
      <c r="D100" s="55" t="s">
        <v>235</v>
      </c>
      <c r="E100" s="55" t="s">
        <v>58</v>
      </c>
      <c r="F100" s="55"/>
      <c r="CV100">
        <v>606</v>
      </c>
    </row>
    <row r="101" spans="1:100" x14ac:dyDescent="0.35">
      <c r="A101" s="6">
        <v>100</v>
      </c>
      <c r="B101" s="48">
        <v>45838.327835648146</v>
      </c>
      <c r="C101" s="8" t="s">
        <v>236</v>
      </c>
      <c r="D101" s="8" t="s">
        <v>237</v>
      </c>
      <c r="E101" s="55" t="s">
        <v>41</v>
      </c>
      <c r="F101" s="8"/>
    </row>
    <row r="102" spans="1:100" x14ac:dyDescent="0.35">
      <c r="A102" s="54">
        <v>101</v>
      </c>
      <c r="B102" s="57">
        <v>45838.327835648146</v>
      </c>
      <c r="C102" s="55" t="s">
        <v>238</v>
      </c>
      <c r="D102" s="55" t="s">
        <v>239</v>
      </c>
      <c r="E102" s="55" t="s">
        <v>38</v>
      </c>
      <c r="F102" s="55"/>
    </row>
    <row r="103" spans="1:100" x14ac:dyDescent="0.35">
      <c r="A103" s="6">
        <v>102</v>
      </c>
      <c r="B103" s="48">
        <v>45838.327835648146</v>
      </c>
      <c r="C103" s="8" t="s">
        <v>240</v>
      </c>
      <c r="D103" s="8" t="s">
        <v>241</v>
      </c>
      <c r="E103" s="55" t="s">
        <v>38</v>
      </c>
      <c r="F103" s="8"/>
    </row>
    <row r="104" spans="1:100" x14ac:dyDescent="0.35">
      <c r="A104" s="54">
        <v>103</v>
      </c>
      <c r="B104" s="57">
        <v>45838.327835648146</v>
      </c>
      <c r="C104" s="55" t="s">
        <v>242</v>
      </c>
      <c r="D104" s="55" t="s">
        <v>243</v>
      </c>
      <c r="E104" s="55" t="s">
        <v>52</v>
      </c>
      <c r="F104" s="55"/>
    </row>
    <row r="105" spans="1:100" x14ac:dyDescent="0.35">
      <c r="A105" s="6">
        <v>104</v>
      </c>
      <c r="B105" s="48">
        <v>45838.327835648146</v>
      </c>
      <c r="C105" s="8" t="s">
        <v>244</v>
      </c>
      <c r="D105" s="8" t="s">
        <v>245</v>
      </c>
      <c r="E105" s="55" t="s">
        <v>246</v>
      </c>
      <c r="F105" s="8"/>
    </row>
    <row r="106" spans="1:100" x14ac:dyDescent="0.35">
      <c r="A106" s="54">
        <v>105</v>
      </c>
      <c r="B106" s="57">
        <v>45838.327835648146</v>
      </c>
      <c r="C106" s="55" t="s">
        <v>247</v>
      </c>
      <c r="D106" s="55" t="s">
        <v>248</v>
      </c>
      <c r="E106" s="55" t="s">
        <v>41</v>
      </c>
      <c r="F106" s="55"/>
    </row>
    <row r="107" spans="1:100" x14ac:dyDescent="0.35">
      <c r="A107" s="6">
        <v>106</v>
      </c>
      <c r="B107" s="48">
        <v>45838.327835648146</v>
      </c>
      <c r="C107" s="8" t="s">
        <v>249</v>
      </c>
      <c r="D107" s="8" t="s">
        <v>250</v>
      </c>
      <c r="E107" s="55" t="s">
        <v>38</v>
      </c>
      <c r="F107" s="8"/>
    </row>
    <row r="108" spans="1:100" x14ac:dyDescent="0.35">
      <c r="A108" s="54">
        <v>107</v>
      </c>
      <c r="B108" s="57">
        <v>45838.327835648146</v>
      </c>
      <c r="C108" s="55" t="s">
        <v>251</v>
      </c>
      <c r="D108" s="55" t="s">
        <v>252</v>
      </c>
      <c r="E108" s="55" t="s">
        <v>38</v>
      </c>
      <c r="F108" s="55"/>
    </row>
    <row r="109" spans="1:100" x14ac:dyDescent="0.35">
      <c r="A109" s="6">
        <v>108</v>
      </c>
      <c r="B109" s="48">
        <v>45838.327835648146</v>
      </c>
      <c r="C109" s="8" t="s">
        <v>253</v>
      </c>
      <c r="D109" s="8" t="s">
        <v>254</v>
      </c>
      <c r="E109" s="55" t="s">
        <v>104</v>
      </c>
      <c r="F109" s="8"/>
    </row>
    <row r="110" spans="1:100" x14ac:dyDescent="0.35">
      <c r="A110" s="54">
        <v>109</v>
      </c>
      <c r="B110" s="57">
        <v>45838.327835648146</v>
      </c>
      <c r="C110" s="55" t="s">
        <v>255</v>
      </c>
      <c r="D110" s="55" t="s">
        <v>256</v>
      </c>
      <c r="E110" s="55" t="s">
        <v>31</v>
      </c>
      <c r="F110" s="55"/>
    </row>
    <row r="111" spans="1:100" x14ac:dyDescent="0.35">
      <c r="A111" s="6">
        <v>110</v>
      </c>
      <c r="B111" s="48">
        <v>45838.327835648146</v>
      </c>
      <c r="C111" s="8" t="s">
        <v>257</v>
      </c>
      <c r="D111" s="8" t="s">
        <v>258</v>
      </c>
      <c r="E111" s="55"/>
      <c r="F111" s="8"/>
    </row>
    <row r="112" spans="1:100" x14ac:dyDescent="0.35">
      <c r="A112" s="54">
        <v>111</v>
      </c>
      <c r="B112" s="57">
        <v>45838.327835648146</v>
      </c>
      <c r="C112" s="55" t="s">
        <v>259</v>
      </c>
      <c r="D112" s="55" t="s">
        <v>260</v>
      </c>
      <c r="E112" s="55"/>
      <c r="F112" s="55"/>
    </row>
    <row r="113" spans="1:6" x14ac:dyDescent="0.35">
      <c r="A113" s="6">
        <v>112</v>
      </c>
      <c r="B113" s="48">
        <v>45838.327835648146</v>
      </c>
      <c r="C113" s="8" t="s">
        <v>261</v>
      </c>
      <c r="D113" s="8" t="s">
        <v>262</v>
      </c>
      <c r="E113" s="55" t="s">
        <v>31</v>
      </c>
      <c r="F113" s="8"/>
    </row>
    <row r="114" spans="1:6" x14ac:dyDescent="0.35">
      <c r="A114" s="54">
        <v>113</v>
      </c>
      <c r="B114" s="57">
        <v>45838.327835648146</v>
      </c>
      <c r="C114" s="55" t="s">
        <v>263</v>
      </c>
      <c r="D114" s="55" t="s">
        <v>264</v>
      </c>
      <c r="E114" s="55" t="s">
        <v>41</v>
      </c>
      <c r="F114" s="55"/>
    </row>
    <row r="115" spans="1:6" x14ac:dyDescent="0.35">
      <c r="A115" s="6">
        <v>114</v>
      </c>
      <c r="B115" s="48">
        <v>45838.327835648146</v>
      </c>
      <c r="C115" s="8" t="s">
        <v>265</v>
      </c>
      <c r="D115" s="8" t="s">
        <v>266</v>
      </c>
      <c r="E115" s="55" t="s">
        <v>31</v>
      </c>
      <c r="F115" s="8"/>
    </row>
    <row r="116" spans="1:6" x14ac:dyDescent="0.35">
      <c r="A116" s="54">
        <v>115</v>
      </c>
      <c r="B116" s="57">
        <v>45838.327835648146</v>
      </c>
      <c r="C116" s="55" t="s">
        <v>267</v>
      </c>
      <c r="D116" s="55" t="s">
        <v>268</v>
      </c>
      <c r="E116" s="55" t="s">
        <v>31</v>
      </c>
      <c r="F116" s="55"/>
    </row>
    <row r="117" spans="1:6" x14ac:dyDescent="0.35">
      <c r="A117" s="6">
        <v>116</v>
      </c>
      <c r="B117" s="48">
        <v>45838.327835648146</v>
      </c>
      <c r="C117" s="8" t="s">
        <v>269</v>
      </c>
      <c r="D117" s="8" t="s">
        <v>270</v>
      </c>
      <c r="E117" s="55" t="s">
        <v>31</v>
      </c>
      <c r="F117" s="8"/>
    </row>
    <row r="118" spans="1:6" x14ac:dyDescent="0.35">
      <c r="A118" s="54">
        <v>117</v>
      </c>
      <c r="B118" s="57">
        <v>45838.327835648146</v>
      </c>
      <c r="C118" s="55" t="s">
        <v>271</v>
      </c>
      <c r="D118" s="55" t="s">
        <v>272</v>
      </c>
      <c r="E118" s="55" t="s">
        <v>58</v>
      </c>
      <c r="F118" s="55"/>
    </row>
    <row r="119" spans="1:6" x14ac:dyDescent="0.35">
      <c r="A119" s="6">
        <v>118</v>
      </c>
      <c r="B119" s="48">
        <v>45838.327835648146</v>
      </c>
      <c r="C119" s="8" t="s">
        <v>273</v>
      </c>
      <c r="D119" s="8" t="s">
        <v>274</v>
      </c>
      <c r="E119" s="55" t="s">
        <v>58</v>
      </c>
      <c r="F119" s="8"/>
    </row>
    <row r="120" spans="1:6" x14ac:dyDescent="0.35">
      <c r="A120" s="54">
        <v>119</v>
      </c>
      <c r="B120" s="57">
        <v>45838.327835648146</v>
      </c>
      <c r="C120" s="55" t="s">
        <v>275</v>
      </c>
      <c r="D120" s="55" t="s">
        <v>276</v>
      </c>
      <c r="E120" s="55" t="s">
        <v>31</v>
      </c>
      <c r="F120" s="55"/>
    </row>
    <row r="121" spans="1:6" x14ac:dyDescent="0.35">
      <c r="A121" s="6">
        <v>120</v>
      </c>
      <c r="B121" s="48">
        <v>45838.327835648146</v>
      </c>
      <c r="C121" s="8" t="s">
        <v>277</v>
      </c>
      <c r="D121" s="8" t="s">
        <v>278</v>
      </c>
      <c r="E121" s="55" t="s">
        <v>58</v>
      </c>
      <c r="F121" s="8"/>
    </row>
    <row r="122" spans="1:6" x14ac:dyDescent="0.35">
      <c r="A122" s="54">
        <v>121</v>
      </c>
      <c r="B122" s="57">
        <v>45838.327835648146</v>
      </c>
      <c r="C122" s="55" t="s">
        <v>279</v>
      </c>
      <c r="D122" s="55" t="s">
        <v>280</v>
      </c>
      <c r="E122" s="55" t="s">
        <v>58</v>
      </c>
      <c r="F122" s="55"/>
    </row>
    <row r="123" spans="1:6" x14ac:dyDescent="0.35">
      <c r="A123" s="6">
        <v>122</v>
      </c>
      <c r="B123" s="48">
        <v>45838.327835648146</v>
      </c>
      <c r="C123" s="8" t="s">
        <v>281</v>
      </c>
      <c r="D123" s="8" t="s">
        <v>282</v>
      </c>
      <c r="E123" s="55" t="s">
        <v>31</v>
      </c>
      <c r="F123" s="8"/>
    </row>
    <row r="124" spans="1:6" x14ac:dyDescent="0.35">
      <c r="A124" s="54">
        <v>123</v>
      </c>
      <c r="B124" s="57">
        <v>45838.327835648146</v>
      </c>
      <c r="C124" s="55" t="s">
        <v>283</v>
      </c>
      <c r="D124" s="55" t="s">
        <v>284</v>
      </c>
      <c r="E124" s="55" t="s">
        <v>58</v>
      </c>
      <c r="F124" s="55"/>
    </row>
    <row r="125" spans="1:6" x14ac:dyDescent="0.35">
      <c r="A125" s="6">
        <v>124</v>
      </c>
      <c r="B125" s="48">
        <v>45838.327835648146</v>
      </c>
      <c r="C125" s="8" t="s">
        <v>285</v>
      </c>
      <c r="D125" s="8" t="s">
        <v>286</v>
      </c>
      <c r="E125" s="55" t="s">
        <v>31</v>
      </c>
      <c r="F125" s="8"/>
    </row>
    <row r="126" spans="1:6" x14ac:dyDescent="0.35">
      <c r="A126" s="54">
        <v>125</v>
      </c>
      <c r="B126" s="57">
        <v>45838.327835648146</v>
      </c>
      <c r="C126" s="55" t="s">
        <v>287</v>
      </c>
      <c r="D126" s="55" t="s">
        <v>288</v>
      </c>
      <c r="E126" s="55" t="s">
        <v>31</v>
      </c>
      <c r="F126" s="55"/>
    </row>
    <row r="127" spans="1:6" x14ac:dyDescent="0.35">
      <c r="A127" s="6">
        <v>126</v>
      </c>
      <c r="B127" s="48">
        <v>45838.327835648146</v>
      </c>
      <c r="C127" s="8" t="s">
        <v>289</v>
      </c>
      <c r="D127" s="8" t="s">
        <v>290</v>
      </c>
      <c r="E127" s="55" t="s">
        <v>38</v>
      </c>
      <c r="F127" s="8"/>
    </row>
    <row r="128" spans="1:6" x14ac:dyDescent="0.35">
      <c r="A128" s="54">
        <v>127</v>
      </c>
      <c r="B128" s="57">
        <v>45838.327835648146</v>
      </c>
      <c r="C128" s="55" t="s">
        <v>291</v>
      </c>
      <c r="D128" s="55" t="s">
        <v>292</v>
      </c>
      <c r="E128" s="55" t="s">
        <v>31</v>
      </c>
      <c r="F128" s="55"/>
    </row>
    <row r="129" spans="1:6" x14ac:dyDescent="0.35">
      <c r="A129" s="6">
        <v>128</v>
      </c>
      <c r="B129" s="48">
        <v>45838.327835648146</v>
      </c>
      <c r="C129" s="8" t="s">
        <v>293</v>
      </c>
      <c r="D129" s="8" t="s">
        <v>294</v>
      </c>
      <c r="E129" s="55" t="s">
        <v>52</v>
      </c>
      <c r="F129" s="8"/>
    </row>
    <row r="130" spans="1:6" x14ac:dyDescent="0.35">
      <c r="A130" s="54">
        <v>129</v>
      </c>
      <c r="B130" s="57">
        <v>45838.327835648146</v>
      </c>
      <c r="C130" s="55" t="s">
        <v>295</v>
      </c>
      <c r="D130" s="55" t="s">
        <v>296</v>
      </c>
      <c r="E130" s="55"/>
      <c r="F130" s="55"/>
    </row>
    <row r="131" spans="1:6" x14ac:dyDescent="0.35">
      <c r="A131" s="6">
        <v>130</v>
      </c>
      <c r="B131" s="48">
        <v>45838.327835648146</v>
      </c>
      <c r="C131" s="8" t="s">
        <v>297</v>
      </c>
      <c r="D131" s="8" t="s">
        <v>298</v>
      </c>
      <c r="E131" s="55" t="s">
        <v>38</v>
      </c>
      <c r="F131" s="8"/>
    </row>
    <row r="132" spans="1:6" x14ac:dyDescent="0.35">
      <c r="A132" s="54">
        <v>131</v>
      </c>
      <c r="B132" s="57">
        <v>45838.327835648146</v>
      </c>
      <c r="C132" s="55" t="s">
        <v>299</v>
      </c>
      <c r="D132" s="55" t="s">
        <v>300</v>
      </c>
      <c r="E132" s="55" t="s">
        <v>58</v>
      </c>
      <c r="F132" s="55"/>
    </row>
    <row r="133" spans="1:6" x14ac:dyDescent="0.35">
      <c r="A133" s="6">
        <v>132</v>
      </c>
      <c r="B133" s="48">
        <v>45838.327835648146</v>
      </c>
      <c r="C133" s="8" t="s">
        <v>301</v>
      </c>
      <c r="D133" s="8" t="s">
        <v>302</v>
      </c>
      <c r="E133" s="55" t="s">
        <v>58</v>
      </c>
      <c r="F133" s="8"/>
    </row>
    <row r="134" spans="1:6" x14ac:dyDescent="0.35">
      <c r="A134" s="54">
        <v>133</v>
      </c>
      <c r="B134" s="57">
        <v>45838.327835648146</v>
      </c>
      <c r="C134" s="55" t="s">
        <v>303</v>
      </c>
      <c r="D134" s="55" t="s">
        <v>300</v>
      </c>
      <c r="E134" s="55" t="s">
        <v>31</v>
      </c>
      <c r="F134" s="55"/>
    </row>
    <row r="135" spans="1:6" x14ac:dyDescent="0.35">
      <c r="A135" s="6">
        <v>134</v>
      </c>
      <c r="B135" s="48">
        <v>45838.327835648146</v>
      </c>
      <c r="C135" s="8" t="s">
        <v>304</v>
      </c>
      <c r="D135" s="8" t="s">
        <v>305</v>
      </c>
      <c r="E135" s="55" t="s">
        <v>31</v>
      </c>
      <c r="F135" s="8"/>
    </row>
    <row r="136" spans="1:6" x14ac:dyDescent="0.35">
      <c r="A136" s="54">
        <v>135</v>
      </c>
      <c r="B136" s="57">
        <v>45838.327835648146</v>
      </c>
      <c r="C136" s="55" t="s">
        <v>306</v>
      </c>
      <c r="D136" s="55" t="s">
        <v>307</v>
      </c>
      <c r="E136" s="55" t="s">
        <v>31</v>
      </c>
      <c r="F136" s="55"/>
    </row>
    <row r="137" spans="1:6" x14ac:dyDescent="0.35">
      <c r="A137" s="6">
        <v>136</v>
      </c>
      <c r="B137" s="48">
        <v>45838.327835648146</v>
      </c>
      <c r="C137" s="8" t="s">
        <v>308</v>
      </c>
      <c r="D137" s="8" t="s">
        <v>221</v>
      </c>
      <c r="E137" s="55"/>
      <c r="F137" s="8"/>
    </row>
    <row r="138" spans="1:6" x14ac:dyDescent="0.35">
      <c r="A138" s="54">
        <v>137</v>
      </c>
      <c r="B138" s="57">
        <v>45838.327835648146</v>
      </c>
      <c r="C138" s="55" t="s">
        <v>309</v>
      </c>
      <c r="D138" s="55" t="s">
        <v>310</v>
      </c>
      <c r="E138" s="55" t="s">
        <v>31</v>
      </c>
      <c r="F138" s="55"/>
    </row>
    <row r="139" spans="1:6" x14ac:dyDescent="0.35">
      <c r="A139" s="6">
        <v>138</v>
      </c>
      <c r="B139" s="48">
        <v>45838.327835648146</v>
      </c>
      <c r="C139" s="8" t="s">
        <v>311</v>
      </c>
      <c r="D139" s="8" t="s">
        <v>312</v>
      </c>
      <c r="E139" s="55" t="s">
        <v>31</v>
      </c>
      <c r="F139" s="8"/>
    </row>
    <row r="140" spans="1:6" x14ac:dyDescent="0.35">
      <c r="A140" s="54">
        <v>139</v>
      </c>
      <c r="B140" s="57">
        <v>45838.327835648146</v>
      </c>
      <c r="C140" s="55" t="s">
        <v>313</v>
      </c>
      <c r="D140" s="55" t="s">
        <v>314</v>
      </c>
      <c r="E140" s="55"/>
      <c r="F140" s="55"/>
    </row>
    <row r="141" spans="1:6" x14ac:dyDescent="0.35">
      <c r="A141" s="6">
        <v>140</v>
      </c>
      <c r="B141" s="48">
        <v>45838.327835648146</v>
      </c>
      <c r="C141" s="8" t="s">
        <v>315</v>
      </c>
      <c r="D141" s="8" t="s">
        <v>316</v>
      </c>
      <c r="E141" s="55" t="s">
        <v>31</v>
      </c>
      <c r="F141" s="8"/>
    </row>
    <row r="142" spans="1:6" x14ac:dyDescent="0.35">
      <c r="A142" s="54">
        <v>141</v>
      </c>
      <c r="B142" s="57">
        <v>45838.327835648146</v>
      </c>
      <c r="C142" s="55" t="s">
        <v>317</v>
      </c>
      <c r="D142" s="55" t="s">
        <v>318</v>
      </c>
      <c r="E142" s="55" t="s">
        <v>31</v>
      </c>
      <c r="F142" s="55"/>
    </row>
    <row r="143" spans="1:6" x14ac:dyDescent="0.35">
      <c r="A143" s="6">
        <v>142</v>
      </c>
      <c r="B143" s="48">
        <v>45838.327835648146</v>
      </c>
      <c r="C143" s="8" t="s">
        <v>319</v>
      </c>
      <c r="D143" s="8" t="s">
        <v>320</v>
      </c>
      <c r="E143" s="55" t="s">
        <v>58</v>
      </c>
      <c r="F143" s="8"/>
    </row>
    <row r="144" spans="1:6" x14ac:dyDescent="0.35">
      <c r="A144" s="54">
        <v>143</v>
      </c>
      <c r="B144" s="57">
        <v>45838.327835648146</v>
      </c>
      <c r="C144" s="55" t="s">
        <v>321</v>
      </c>
      <c r="D144" s="55"/>
      <c r="E144" s="55"/>
      <c r="F144" s="55"/>
    </row>
    <row r="145" spans="1:6" x14ac:dyDescent="0.35">
      <c r="A145" s="6">
        <v>144</v>
      </c>
      <c r="B145" s="48">
        <v>45838.327835648146</v>
      </c>
      <c r="C145" s="8" t="s">
        <v>322</v>
      </c>
      <c r="D145" s="8" t="s">
        <v>323</v>
      </c>
      <c r="E145" s="55" t="s">
        <v>31</v>
      </c>
      <c r="F145" s="8"/>
    </row>
    <row r="146" spans="1:6" x14ac:dyDescent="0.35">
      <c r="A146" s="54">
        <v>145</v>
      </c>
      <c r="B146" s="57">
        <v>45838.327835648146</v>
      </c>
      <c r="C146" s="55" t="s">
        <v>324</v>
      </c>
      <c r="D146" s="55" t="s">
        <v>325</v>
      </c>
      <c r="E146" s="55" t="s">
        <v>31</v>
      </c>
      <c r="F146" s="55"/>
    </row>
    <row r="147" spans="1:6" x14ac:dyDescent="0.35">
      <c r="A147" s="6">
        <v>146</v>
      </c>
      <c r="B147" s="48">
        <v>45838.327835648146</v>
      </c>
      <c r="C147" s="8" t="s">
        <v>326</v>
      </c>
      <c r="D147" s="8" t="s">
        <v>327</v>
      </c>
      <c r="E147" s="55" t="s">
        <v>58</v>
      </c>
      <c r="F147" s="8"/>
    </row>
    <row r="148" spans="1:6" x14ac:dyDescent="0.35">
      <c r="A148" s="54">
        <v>147</v>
      </c>
      <c r="B148" s="57">
        <v>45838.327835648146</v>
      </c>
      <c r="C148" s="55" t="s">
        <v>328</v>
      </c>
      <c r="D148" s="55" t="s">
        <v>329</v>
      </c>
      <c r="E148" s="55" t="s">
        <v>31</v>
      </c>
      <c r="F148" s="55"/>
    </row>
    <row r="149" spans="1:6" x14ac:dyDescent="0.35">
      <c r="A149" s="6">
        <v>148</v>
      </c>
      <c r="B149" s="48">
        <v>45838.327835648146</v>
      </c>
      <c r="C149" s="8" t="s">
        <v>330</v>
      </c>
      <c r="D149" s="8" t="s">
        <v>331</v>
      </c>
      <c r="E149" s="55" t="s">
        <v>31</v>
      </c>
      <c r="F149" s="8"/>
    </row>
    <row r="150" spans="1:6" x14ac:dyDescent="0.35">
      <c r="A150" s="54">
        <v>149</v>
      </c>
      <c r="B150" s="57">
        <v>45838.327835648146</v>
      </c>
      <c r="C150" s="55" t="s">
        <v>332</v>
      </c>
      <c r="D150" s="55" t="s">
        <v>333</v>
      </c>
      <c r="E150" s="55" t="s">
        <v>31</v>
      </c>
      <c r="F150" s="55"/>
    </row>
    <row r="151" spans="1:6" x14ac:dyDescent="0.35">
      <c r="A151" s="6">
        <v>150</v>
      </c>
      <c r="B151" s="48">
        <v>45838.327835648146</v>
      </c>
      <c r="C151" s="8" t="s">
        <v>334</v>
      </c>
      <c r="D151" s="8" t="s">
        <v>335</v>
      </c>
      <c r="E151" s="55" t="s">
        <v>31</v>
      </c>
      <c r="F151" s="8"/>
    </row>
    <row r="152" spans="1:6" x14ac:dyDescent="0.35">
      <c r="A152" s="54">
        <v>151</v>
      </c>
      <c r="B152" s="57">
        <v>45838.327835648146</v>
      </c>
      <c r="C152" s="55" t="s">
        <v>336</v>
      </c>
      <c r="D152" s="55" t="s">
        <v>337</v>
      </c>
      <c r="E152" s="55" t="s">
        <v>31</v>
      </c>
      <c r="F152" s="55"/>
    </row>
    <row r="153" spans="1:6" x14ac:dyDescent="0.35">
      <c r="A153" s="6">
        <v>152</v>
      </c>
      <c r="B153" s="48">
        <v>45838.327835648146</v>
      </c>
      <c r="C153" s="8" t="s">
        <v>338</v>
      </c>
      <c r="D153" s="8" t="s">
        <v>339</v>
      </c>
      <c r="E153" s="55"/>
      <c r="F153" s="8"/>
    </row>
    <row r="154" spans="1:6" x14ac:dyDescent="0.35">
      <c r="A154" s="54">
        <v>153</v>
      </c>
      <c r="B154" s="57">
        <v>45838.327835648146</v>
      </c>
      <c r="C154" s="55" t="s">
        <v>340</v>
      </c>
      <c r="D154" s="55" t="s">
        <v>341</v>
      </c>
      <c r="E154" s="55"/>
      <c r="F154" s="55"/>
    </row>
    <row r="155" spans="1:6" x14ac:dyDescent="0.35">
      <c r="A155" s="6">
        <v>154</v>
      </c>
      <c r="B155" s="48">
        <v>45838.327835648146</v>
      </c>
      <c r="C155" s="8" t="s">
        <v>342</v>
      </c>
      <c r="D155" s="8" t="s">
        <v>343</v>
      </c>
      <c r="E155" s="55" t="s">
        <v>58</v>
      </c>
      <c r="F155" s="8"/>
    </row>
    <row r="156" spans="1:6" x14ac:dyDescent="0.35">
      <c r="A156" s="54">
        <v>155</v>
      </c>
      <c r="B156" s="57">
        <v>45838.327835648146</v>
      </c>
      <c r="C156" s="55" t="s">
        <v>344</v>
      </c>
      <c r="D156" s="55" t="s">
        <v>345</v>
      </c>
      <c r="E156" s="55" t="s">
        <v>58</v>
      </c>
      <c r="F156" s="55"/>
    </row>
    <row r="157" spans="1:6" x14ac:dyDescent="0.35">
      <c r="A157" s="6">
        <v>156</v>
      </c>
      <c r="B157" s="48">
        <v>45838.327835648146</v>
      </c>
      <c r="C157" s="8" t="s">
        <v>346</v>
      </c>
      <c r="D157" s="8" t="s">
        <v>347</v>
      </c>
      <c r="E157" s="55" t="s">
        <v>58</v>
      </c>
      <c r="F157" s="8"/>
    </row>
    <row r="158" spans="1:6" x14ac:dyDescent="0.35">
      <c r="A158" s="54">
        <v>157</v>
      </c>
      <c r="B158" s="57">
        <v>45838.327835648146</v>
      </c>
      <c r="C158" s="55" t="s">
        <v>348</v>
      </c>
      <c r="D158" s="55" t="s">
        <v>349</v>
      </c>
      <c r="E158" s="55" t="s">
        <v>52</v>
      </c>
      <c r="F158" s="55"/>
    </row>
    <row r="159" spans="1:6" x14ac:dyDescent="0.35">
      <c r="A159" s="6">
        <v>158</v>
      </c>
      <c r="B159" s="48">
        <v>45838.327835648146</v>
      </c>
      <c r="C159" s="8" t="s">
        <v>350</v>
      </c>
      <c r="D159" s="8" t="s">
        <v>351</v>
      </c>
      <c r="E159" s="55" t="s">
        <v>52</v>
      </c>
      <c r="F159" s="8"/>
    </row>
    <row r="160" spans="1:6" x14ac:dyDescent="0.35">
      <c r="A160" s="54">
        <v>159</v>
      </c>
      <c r="B160" s="57">
        <v>45838.327835648146</v>
      </c>
      <c r="C160" s="55" t="s">
        <v>352</v>
      </c>
      <c r="D160" s="55" t="s">
        <v>353</v>
      </c>
      <c r="E160" s="55" t="s">
        <v>38</v>
      </c>
      <c r="F160" s="55"/>
    </row>
    <row r="161" spans="1:6" x14ac:dyDescent="0.35">
      <c r="A161" s="6">
        <v>160</v>
      </c>
      <c r="B161" s="48">
        <v>45838.327835648146</v>
      </c>
      <c r="C161" s="8" t="s">
        <v>354</v>
      </c>
      <c r="D161" s="8" t="s">
        <v>355</v>
      </c>
      <c r="E161" s="55" t="s">
        <v>58</v>
      </c>
      <c r="F161" s="8"/>
    </row>
    <row r="162" spans="1:6" x14ac:dyDescent="0.35">
      <c r="A162" s="54">
        <v>161</v>
      </c>
      <c r="B162" s="57">
        <v>45838.327835648146</v>
      </c>
      <c r="C162" s="55" t="s">
        <v>356</v>
      </c>
      <c r="D162" s="55" t="s">
        <v>357</v>
      </c>
      <c r="E162" s="55" t="s">
        <v>58</v>
      </c>
      <c r="F162" s="55"/>
    </row>
    <row r="163" spans="1:6" x14ac:dyDescent="0.35">
      <c r="A163" s="6">
        <v>162</v>
      </c>
      <c r="B163" s="48">
        <v>45838.327835648146</v>
      </c>
      <c r="C163" s="8" t="s">
        <v>358</v>
      </c>
      <c r="D163" s="8" t="s">
        <v>359</v>
      </c>
      <c r="E163" s="55" t="s">
        <v>31</v>
      </c>
      <c r="F163" s="8"/>
    </row>
    <row r="164" spans="1:6" x14ac:dyDescent="0.35">
      <c r="A164" s="54">
        <v>163</v>
      </c>
      <c r="B164" s="57">
        <v>45838.327835648146</v>
      </c>
      <c r="C164" s="55" t="s">
        <v>360</v>
      </c>
      <c r="D164" s="55" t="s">
        <v>361</v>
      </c>
      <c r="E164" s="55" t="s">
        <v>58</v>
      </c>
      <c r="F164" s="55"/>
    </row>
    <row r="165" spans="1:6" x14ac:dyDescent="0.35">
      <c r="A165" s="6">
        <v>164</v>
      </c>
      <c r="B165" s="48">
        <v>45838.327835648146</v>
      </c>
      <c r="C165" s="8" t="s">
        <v>362</v>
      </c>
      <c r="D165" s="8" t="s">
        <v>363</v>
      </c>
      <c r="E165" s="55" t="s">
        <v>58</v>
      </c>
      <c r="F165" s="8"/>
    </row>
    <row r="166" spans="1:6" x14ac:dyDescent="0.35">
      <c r="A166" s="54">
        <v>165</v>
      </c>
      <c r="B166" s="57">
        <v>45838.327835648146</v>
      </c>
      <c r="C166" s="55" t="s">
        <v>364</v>
      </c>
      <c r="D166" s="55" t="s">
        <v>365</v>
      </c>
      <c r="E166" s="55" t="s">
        <v>38</v>
      </c>
      <c r="F166" s="55"/>
    </row>
    <row r="167" spans="1:6" x14ac:dyDescent="0.35">
      <c r="A167" s="6">
        <v>166</v>
      </c>
      <c r="B167" s="48">
        <v>45838.327835648146</v>
      </c>
      <c r="C167" s="8" t="s">
        <v>366</v>
      </c>
      <c r="D167" s="8" t="s">
        <v>367</v>
      </c>
      <c r="E167" s="55" t="s">
        <v>58</v>
      </c>
      <c r="F167" s="8"/>
    </row>
    <row r="168" spans="1:6" x14ac:dyDescent="0.35">
      <c r="A168" s="54">
        <v>167</v>
      </c>
      <c r="B168" s="57">
        <v>45838.327835648146</v>
      </c>
      <c r="C168" s="55" t="s">
        <v>368</v>
      </c>
      <c r="D168" s="55" t="s">
        <v>369</v>
      </c>
      <c r="E168" s="55" t="s">
        <v>58</v>
      </c>
      <c r="F168" s="55"/>
    </row>
    <row r="169" spans="1:6" x14ac:dyDescent="0.35">
      <c r="A169" s="6">
        <v>168</v>
      </c>
      <c r="B169" s="48">
        <v>45838.327835648146</v>
      </c>
      <c r="C169" s="8" t="s">
        <v>370</v>
      </c>
      <c r="D169" s="8" t="s">
        <v>371</v>
      </c>
      <c r="E169" s="55" t="s">
        <v>31</v>
      </c>
      <c r="F169" s="8"/>
    </row>
    <row r="170" spans="1:6" x14ac:dyDescent="0.35">
      <c r="A170" s="54">
        <v>169</v>
      </c>
      <c r="B170" s="57">
        <v>45838.327835648146</v>
      </c>
      <c r="C170" s="55" t="s">
        <v>372</v>
      </c>
      <c r="D170" s="55" t="s">
        <v>373</v>
      </c>
      <c r="E170" s="55" t="s">
        <v>58</v>
      </c>
      <c r="F170" s="55"/>
    </row>
    <row r="171" spans="1:6" x14ac:dyDescent="0.35">
      <c r="A171" s="6">
        <v>170</v>
      </c>
      <c r="B171" s="48">
        <v>45838.327835648146</v>
      </c>
      <c r="C171" s="8" t="s">
        <v>374</v>
      </c>
      <c r="D171" s="8" t="s">
        <v>351</v>
      </c>
      <c r="E171" s="55" t="s">
        <v>31</v>
      </c>
      <c r="F171" s="8"/>
    </row>
    <row r="172" spans="1:6" x14ac:dyDescent="0.35">
      <c r="A172" s="54">
        <v>171</v>
      </c>
      <c r="B172" s="57">
        <v>45838.327835648146</v>
      </c>
      <c r="C172" s="55" t="s">
        <v>375</v>
      </c>
      <c r="D172" s="55" t="s">
        <v>353</v>
      </c>
      <c r="E172" s="55" t="s">
        <v>31</v>
      </c>
      <c r="F172" s="55"/>
    </row>
    <row r="173" spans="1:6" x14ac:dyDescent="0.35">
      <c r="A173" s="6">
        <v>172</v>
      </c>
      <c r="B173" s="48">
        <v>45838.327835648146</v>
      </c>
      <c r="C173" s="8" t="s">
        <v>376</v>
      </c>
      <c r="D173" s="8" t="s">
        <v>377</v>
      </c>
      <c r="E173" s="55" t="s">
        <v>31</v>
      </c>
      <c r="F173" s="8"/>
    </row>
    <row r="174" spans="1:6" x14ac:dyDescent="0.35">
      <c r="A174" s="54">
        <v>173</v>
      </c>
      <c r="B174" s="57">
        <v>45838.327835648146</v>
      </c>
      <c r="C174" s="55" t="s">
        <v>378</v>
      </c>
      <c r="D174" s="55" t="s">
        <v>379</v>
      </c>
      <c r="E174" s="55" t="s">
        <v>31</v>
      </c>
      <c r="F174" s="55"/>
    </row>
    <row r="175" spans="1:6" x14ac:dyDescent="0.35">
      <c r="A175" s="6">
        <v>174</v>
      </c>
      <c r="B175" s="48">
        <v>45838.327835648146</v>
      </c>
      <c r="C175" s="8" t="s">
        <v>380</v>
      </c>
      <c r="D175" s="8" t="s">
        <v>381</v>
      </c>
      <c r="E175" s="55"/>
      <c r="F175" s="8"/>
    </row>
    <row r="176" spans="1:6" x14ac:dyDescent="0.35">
      <c r="A176" s="54">
        <v>175</v>
      </c>
      <c r="B176" s="57">
        <v>45838.327835648146</v>
      </c>
      <c r="C176" s="55" t="s">
        <v>382</v>
      </c>
      <c r="D176" s="55" t="s">
        <v>383</v>
      </c>
      <c r="E176" s="55" t="s">
        <v>31</v>
      </c>
      <c r="F176" s="55"/>
    </row>
    <row r="177" spans="1:6" x14ac:dyDescent="0.35">
      <c r="A177" s="6">
        <v>176</v>
      </c>
      <c r="B177" s="48">
        <v>45838.327835648146</v>
      </c>
      <c r="C177" s="8" t="s">
        <v>384</v>
      </c>
      <c r="D177" s="8" t="s">
        <v>385</v>
      </c>
      <c r="E177" s="55" t="s">
        <v>31</v>
      </c>
      <c r="F177" s="8"/>
    </row>
    <row r="178" spans="1:6" x14ac:dyDescent="0.35">
      <c r="A178" s="54">
        <v>177</v>
      </c>
      <c r="B178" s="57">
        <v>45838.327835648146</v>
      </c>
      <c r="C178" s="55" t="s">
        <v>386</v>
      </c>
      <c r="D178" s="55" t="s">
        <v>387</v>
      </c>
      <c r="E178" s="55" t="s">
        <v>31</v>
      </c>
      <c r="F178" s="55"/>
    </row>
    <row r="179" spans="1:6" x14ac:dyDescent="0.35">
      <c r="A179" s="6">
        <v>178</v>
      </c>
      <c r="B179" s="48">
        <v>45838.327835648146</v>
      </c>
      <c r="C179" s="8" t="s">
        <v>388</v>
      </c>
      <c r="D179" s="8" t="s">
        <v>389</v>
      </c>
      <c r="E179" s="55" t="s">
        <v>31</v>
      </c>
      <c r="F179" s="8"/>
    </row>
    <row r="180" spans="1:6" x14ac:dyDescent="0.35">
      <c r="A180" s="54">
        <v>179</v>
      </c>
      <c r="B180" s="57">
        <v>45838.327835648146</v>
      </c>
      <c r="C180" s="55" t="s">
        <v>390</v>
      </c>
      <c r="D180" s="55" t="s">
        <v>391</v>
      </c>
      <c r="E180" s="55" t="s">
        <v>31</v>
      </c>
      <c r="F180" s="55"/>
    </row>
    <row r="181" spans="1:6" x14ac:dyDescent="0.35">
      <c r="A181" s="6">
        <v>180</v>
      </c>
      <c r="B181" s="48">
        <v>45838.327835648146</v>
      </c>
      <c r="C181" s="8" t="s">
        <v>392</v>
      </c>
      <c r="D181" s="8" t="s">
        <v>393</v>
      </c>
      <c r="E181" s="55" t="s">
        <v>31</v>
      </c>
      <c r="F181" s="8"/>
    </row>
    <row r="182" spans="1:6" x14ac:dyDescent="0.35">
      <c r="A182" s="54">
        <v>181</v>
      </c>
      <c r="B182" s="57">
        <v>45838.327835648146</v>
      </c>
      <c r="C182" s="55" t="s">
        <v>394</v>
      </c>
      <c r="D182" s="55" t="s">
        <v>395</v>
      </c>
      <c r="E182" s="55" t="s">
        <v>31</v>
      </c>
      <c r="F182" s="55"/>
    </row>
    <row r="183" spans="1:6" x14ac:dyDescent="0.35">
      <c r="A183" s="6">
        <v>182</v>
      </c>
      <c r="B183" s="48">
        <v>45838.327835648146</v>
      </c>
      <c r="C183" s="8" t="s">
        <v>396</v>
      </c>
      <c r="D183" s="8" t="s">
        <v>397</v>
      </c>
      <c r="E183" s="55" t="s">
        <v>31</v>
      </c>
      <c r="F183" s="8"/>
    </row>
    <row r="184" spans="1:6" x14ac:dyDescent="0.35">
      <c r="A184" s="54">
        <v>183</v>
      </c>
      <c r="B184" s="57">
        <v>45838.327835648146</v>
      </c>
      <c r="C184" s="55" t="s">
        <v>398</v>
      </c>
      <c r="D184" s="55" t="s">
        <v>399</v>
      </c>
      <c r="E184" s="55" t="s">
        <v>31</v>
      </c>
      <c r="F184" s="55"/>
    </row>
    <row r="185" spans="1:6" x14ac:dyDescent="0.35">
      <c r="A185" s="6">
        <v>184</v>
      </c>
      <c r="B185" s="48">
        <v>45838.327835648146</v>
      </c>
      <c r="C185" s="8" t="s">
        <v>400</v>
      </c>
      <c r="D185" s="8" t="s">
        <v>401</v>
      </c>
      <c r="E185" s="55" t="s">
        <v>31</v>
      </c>
      <c r="F185" s="8"/>
    </row>
    <row r="186" spans="1:6" x14ac:dyDescent="0.35">
      <c r="A186" s="54">
        <v>185</v>
      </c>
      <c r="B186" s="57">
        <v>45838.327835648146</v>
      </c>
      <c r="C186" s="55" t="s">
        <v>402</v>
      </c>
      <c r="D186" s="55" t="s">
        <v>403</v>
      </c>
      <c r="E186" s="55" t="s">
        <v>31</v>
      </c>
      <c r="F186" s="55"/>
    </row>
    <row r="187" spans="1:6" x14ac:dyDescent="0.35">
      <c r="A187" s="6">
        <v>186</v>
      </c>
      <c r="B187" s="48">
        <v>45838.327835648146</v>
      </c>
      <c r="C187" s="8" t="s">
        <v>404</v>
      </c>
      <c r="D187" s="8" t="s">
        <v>405</v>
      </c>
      <c r="E187" s="55" t="s">
        <v>31</v>
      </c>
      <c r="F187" s="8"/>
    </row>
    <row r="188" spans="1:6" x14ac:dyDescent="0.35">
      <c r="A188" s="54">
        <v>187</v>
      </c>
      <c r="B188" s="57">
        <v>45838.327835648146</v>
      </c>
      <c r="C188" s="55" t="s">
        <v>406</v>
      </c>
      <c r="D188" s="55" t="s">
        <v>407</v>
      </c>
      <c r="E188" s="55" t="s">
        <v>31</v>
      </c>
      <c r="F188" s="55"/>
    </row>
    <row r="189" spans="1:6" x14ac:dyDescent="0.35">
      <c r="A189" s="6">
        <v>188</v>
      </c>
      <c r="B189" s="48">
        <v>45838.327835648146</v>
      </c>
      <c r="C189" s="8" t="s">
        <v>408</v>
      </c>
      <c r="D189" s="8" t="s">
        <v>409</v>
      </c>
      <c r="E189" s="55" t="s">
        <v>31</v>
      </c>
      <c r="F189" s="8"/>
    </row>
    <row r="190" spans="1:6" x14ac:dyDescent="0.35">
      <c r="A190" s="54">
        <v>189</v>
      </c>
      <c r="B190" s="57">
        <v>45838.327835648146</v>
      </c>
      <c r="C190" s="55" t="s">
        <v>410</v>
      </c>
      <c r="D190" s="55" t="s">
        <v>411</v>
      </c>
      <c r="E190" s="55" t="s">
        <v>31</v>
      </c>
      <c r="F190" s="55"/>
    </row>
    <row r="191" spans="1:6" x14ac:dyDescent="0.35">
      <c r="A191" s="6">
        <v>190</v>
      </c>
      <c r="B191" s="48">
        <v>45838.327835648146</v>
      </c>
      <c r="C191" s="8" t="s">
        <v>412</v>
      </c>
      <c r="D191" s="8" t="s">
        <v>413</v>
      </c>
      <c r="E191" s="55" t="s">
        <v>31</v>
      </c>
      <c r="F191" s="8"/>
    </row>
    <row r="192" spans="1:6" x14ac:dyDescent="0.35">
      <c r="A192" s="54">
        <v>191</v>
      </c>
      <c r="B192" s="57">
        <v>45838.327835648146</v>
      </c>
      <c r="C192" s="55" t="s">
        <v>414</v>
      </c>
      <c r="D192" s="55" t="s">
        <v>415</v>
      </c>
      <c r="E192" s="55" t="s">
        <v>31</v>
      </c>
      <c r="F192" s="55"/>
    </row>
    <row r="193" spans="1:6" x14ac:dyDescent="0.35">
      <c r="A193" s="6">
        <v>192</v>
      </c>
      <c r="B193" s="48">
        <v>45838.327835648146</v>
      </c>
      <c r="C193" s="8" t="s">
        <v>416</v>
      </c>
      <c r="D193" s="8" t="s">
        <v>417</v>
      </c>
      <c r="E193" s="55" t="s">
        <v>31</v>
      </c>
      <c r="F193" s="8"/>
    </row>
    <row r="194" spans="1:6" x14ac:dyDescent="0.35">
      <c r="A194" s="54">
        <v>193</v>
      </c>
      <c r="B194" s="57">
        <v>45838.327835648146</v>
      </c>
      <c r="C194" s="55" t="s">
        <v>418</v>
      </c>
      <c r="D194" s="55" t="s">
        <v>419</v>
      </c>
      <c r="E194" s="55" t="s">
        <v>31</v>
      </c>
      <c r="F194" s="55"/>
    </row>
    <row r="195" spans="1:6" x14ac:dyDescent="0.35">
      <c r="A195" s="6">
        <v>194</v>
      </c>
      <c r="B195" s="48">
        <v>45838.327835648146</v>
      </c>
      <c r="C195" s="8" t="s">
        <v>420</v>
      </c>
      <c r="D195" s="8" t="s">
        <v>383</v>
      </c>
      <c r="E195" s="55" t="s">
        <v>31</v>
      </c>
      <c r="F195" s="8"/>
    </row>
    <row r="196" spans="1:6" x14ac:dyDescent="0.35">
      <c r="A196" s="54">
        <v>195</v>
      </c>
      <c r="B196" s="57">
        <v>45838.327835648146</v>
      </c>
      <c r="C196" s="55" t="s">
        <v>421</v>
      </c>
      <c r="D196" s="55" t="s">
        <v>385</v>
      </c>
      <c r="E196" s="55" t="s">
        <v>31</v>
      </c>
      <c r="F196" s="55"/>
    </row>
    <row r="197" spans="1:6" x14ac:dyDescent="0.35">
      <c r="A197" s="6">
        <v>196</v>
      </c>
      <c r="B197" s="48">
        <v>45838.327835648146</v>
      </c>
      <c r="C197" s="8" t="s">
        <v>422</v>
      </c>
      <c r="D197" s="8" t="s">
        <v>387</v>
      </c>
      <c r="E197" s="55" t="s">
        <v>31</v>
      </c>
      <c r="F197" s="8"/>
    </row>
    <row r="198" spans="1:6" x14ac:dyDescent="0.35">
      <c r="A198" s="54">
        <v>197</v>
      </c>
      <c r="B198" s="57">
        <v>45838.327835648146</v>
      </c>
      <c r="C198" s="55" t="s">
        <v>423</v>
      </c>
      <c r="D198" s="55" t="s">
        <v>389</v>
      </c>
      <c r="E198" s="55" t="s">
        <v>31</v>
      </c>
      <c r="F198" s="55"/>
    </row>
    <row r="199" spans="1:6" x14ac:dyDescent="0.35">
      <c r="A199" s="6">
        <v>198</v>
      </c>
      <c r="B199" s="48">
        <v>45838.327835648146</v>
      </c>
      <c r="C199" s="8" t="s">
        <v>424</v>
      </c>
      <c r="D199" s="8" t="s">
        <v>391</v>
      </c>
      <c r="E199" s="55" t="s">
        <v>31</v>
      </c>
      <c r="F199" s="8"/>
    </row>
    <row r="200" spans="1:6" x14ac:dyDescent="0.35">
      <c r="A200" s="54">
        <v>199</v>
      </c>
      <c r="B200" s="57">
        <v>45838.327835648146</v>
      </c>
      <c r="C200" s="55" t="s">
        <v>425</v>
      </c>
      <c r="D200" s="55" t="s">
        <v>393</v>
      </c>
      <c r="E200" s="55" t="s">
        <v>31</v>
      </c>
      <c r="F200" s="55"/>
    </row>
    <row r="201" spans="1:6" x14ac:dyDescent="0.35">
      <c r="A201" s="6">
        <v>200</v>
      </c>
      <c r="B201" s="48">
        <v>45838.327835648146</v>
      </c>
      <c r="C201" s="8" t="s">
        <v>426</v>
      </c>
      <c r="D201" s="8" t="s">
        <v>427</v>
      </c>
      <c r="E201" s="55" t="s">
        <v>31</v>
      </c>
      <c r="F201" s="8"/>
    </row>
    <row r="202" spans="1:6" x14ac:dyDescent="0.35">
      <c r="A202" s="54">
        <v>201</v>
      </c>
      <c r="B202" s="57">
        <v>45838.327835648146</v>
      </c>
      <c r="C202" s="55" t="s">
        <v>428</v>
      </c>
      <c r="D202" s="55" t="s">
        <v>429</v>
      </c>
      <c r="E202" s="55" t="s">
        <v>31</v>
      </c>
      <c r="F202" s="55"/>
    </row>
    <row r="203" spans="1:6" x14ac:dyDescent="0.35">
      <c r="A203" s="6">
        <v>202</v>
      </c>
      <c r="B203" s="48">
        <v>45838.327835648146</v>
      </c>
      <c r="C203" s="8" t="s">
        <v>430</v>
      </c>
      <c r="D203" s="8" t="s">
        <v>431</v>
      </c>
      <c r="E203" s="55" t="s">
        <v>31</v>
      </c>
      <c r="F203" s="8"/>
    </row>
    <row r="204" spans="1:6" x14ac:dyDescent="0.35">
      <c r="A204" s="54">
        <v>203</v>
      </c>
      <c r="B204" s="57">
        <v>45838.327835648146</v>
      </c>
      <c r="C204" s="55" t="s">
        <v>432</v>
      </c>
      <c r="D204" s="55" t="s">
        <v>433</v>
      </c>
      <c r="E204" s="55" t="s">
        <v>31</v>
      </c>
      <c r="F204" s="55"/>
    </row>
    <row r="205" spans="1:6" x14ac:dyDescent="0.35">
      <c r="A205" s="6">
        <v>204</v>
      </c>
      <c r="B205" s="48">
        <v>45838.327835648146</v>
      </c>
      <c r="C205" s="8" t="s">
        <v>434</v>
      </c>
      <c r="D205" s="8" t="s">
        <v>435</v>
      </c>
      <c r="E205" s="55" t="s">
        <v>52</v>
      </c>
      <c r="F205" s="8"/>
    </row>
    <row r="206" spans="1:6" x14ac:dyDescent="0.35">
      <c r="A206" s="54">
        <v>205</v>
      </c>
      <c r="B206" s="57">
        <v>45838.327835648146</v>
      </c>
      <c r="C206" s="55" t="s">
        <v>436</v>
      </c>
      <c r="D206" s="55" t="s">
        <v>437</v>
      </c>
      <c r="E206" s="55" t="s">
        <v>31</v>
      </c>
      <c r="F206" s="55"/>
    </row>
    <row r="207" spans="1:6" x14ac:dyDescent="0.35">
      <c r="A207" s="6">
        <v>206</v>
      </c>
      <c r="B207" s="48">
        <v>45838.327835648146</v>
      </c>
      <c r="C207" s="8" t="s">
        <v>438</v>
      </c>
      <c r="D207" s="8" t="s">
        <v>439</v>
      </c>
      <c r="E207" s="55" t="s">
        <v>52</v>
      </c>
      <c r="F207" s="8"/>
    </row>
    <row r="208" spans="1:6" x14ac:dyDescent="0.35">
      <c r="A208" s="54">
        <v>207</v>
      </c>
      <c r="B208" s="57">
        <v>45838.327835648146</v>
      </c>
      <c r="C208" s="55" t="s">
        <v>440</v>
      </c>
      <c r="D208" s="55" t="s">
        <v>441</v>
      </c>
      <c r="E208" s="55" t="s">
        <v>31</v>
      </c>
      <c r="F208" s="55"/>
    </row>
    <row r="209" spans="1:6" x14ac:dyDescent="0.35">
      <c r="A209" s="6">
        <v>208</v>
      </c>
      <c r="B209" s="48">
        <v>45838.327835648146</v>
      </c>
      <c r="C209" s="8" t="s">
        <v>442</v>
      </c>
      <c r="D209" s="8" t="s">
        <v>443</v>
      </c>
      <c r="E209" s="55"/>
      <c r="F209" s="8"/>
    </row>
    <row r="210" spans="1:6" x14ac:dyDescent="0.35">
      <c r="A210" s="54">
        <v>209</v>
      </c>
      <c r="B210" s="57">
        <v>45838.327835648146</v>
      </c>
      <c r="C210" s="55" t="s">
        <v>444</v>
      </c>
      <c r="D210" s="55" t="s">
        <v>445</v>
      </c>
      <c r="E210" s="55" t="s">
        <v>52</v>
      </c>
      <c r="F210" s="55"/>
    </row>
    <row r="211" spans="1:6" x14ac:dyDescent="0.35">
      <c r="A211" s="6">
        <v>210</v>
      </c>
      <c r="B211" s="48">
        <v>45838.327835648146</v>
      </c>
      <c r="C211" s="8" t="s">
        <v>446</v>
      </c>
      <c r="D211" s="8" t="s">
        <v>447</v>
      </c>
      <c r="E211" s="55" t="s">
        <v>52</v>
      </c>
      <c r="F211" s="8"/>
    </row>
    <row r="212" spans="1:6" x14ac:dyDescent="0.35">
      <c r="A212" s="54">
        <v>211</v>
      </c>
      <c r="B212" s="57">
        <v>45838.327835648146</v>
      </c>
      <c r="C212" s="55" t="s">
        <v>448</v>
      </c>
      <c r="D212" s="55" t="s">
        <v>449</v>
      </c>
      <c r="E212" s="55"/>
      <c r="F212" s="55"/>
    </row>
    <row r="213" spans="1:6" x14ac:dyDescent="0.35">
      <c r="A213" s="6">
        <v>212</v>
      </c>
      <c r="B213" s="48">
        <v>45838.327835648146</v>
      </c>
      <c r="C213" s="8" t="s">
        <v>450</v>
      </c>
      <c r="D213" s="8" t="s">
        <v>451</v>
      </c>
      <c r="E213" s="55" t="s">
        <v>58</v>
      </c>
      <c r="F213" s="8"/>
    </row>
    <row r="214" spans="1:6" x14ac:dyDescent="0.35">
      <c r="A214" s="54">
        <v>213</v>
      </c>
      <c r="B214" s="57">
        <v>45838.327835648146</v>
      </c>
      <c r="C214" s="55" t="s">
        <v>452</v>
      </c>
      <c r="D214" s="55" t="s">
        <v>453</v>
      </c>
      <c r="E214" s="55" t="s">
        <v>31</v>
      </c>
      <c r="F214" s="55"/>
    </row>
    <row r="215" spans="1:6" x14ac:dyDescent="0.35">
      <c r="A215" s="6">
        <v>214</v>
      </c>
      <c r="B215" s="48">
        <v>45838.327835648146</v>
      </c>
      <c r="C215" s="8" t="s">
        <v>454</v>
      </c>
      <c r="D215" s="8" t="s">
        <v>455</v>
      </c>
      <c r="E215" s="55" t="s">
        <v>31</v>
      </c>
      <c r="F215" s="8"/>
    </row>
    <row r="216" spans="1:6" x14ac:dyDescent="0.35">
      <c r="A216" s="54">
        <v>215</v>
      </c>
      <c r="B216" s="57">
        <v>45838.327835648146</v>
      </c>
      <c r="C216" s="55" t="s">
        <v>456</v>
      </c>
      <c r="D216" s="55" t="s">
        <v>457</v>
      </c>
      <c r="E216" s="55" t="s">
        <v>58</v>
      </c>
      <c r="F216" s="55"/>
    </row>
    <row r="217" spans="1:6" x14ac:dyDescent="0.35">
      <c r="A217" s="6">
        <v>216</v>
      </c>
      <c r="B217" s="48">
        <v>45838.327835648146</v>
      </c>
      <c r="C217" s="8" t="s">
        <v>458</v>
      </c>
      <c r="D217" s="8" t="s">
        <v>459</v>
      </c>
      <c r="E217" s="55" t="s">
        <v>31</v>
      </c>
      <c r="F217" s="8"/>
    </row>
    <row r="218" spans="1:6" x14ac:dyDescent="0.35">
      <c r="A218" s="54">
        <v>217</v>
      </c>
      <c r="B218" s="57">
        <v>45838.327835648146</v>
      </c>
      <c r="C218" s="55" t="s">
        <v>460</v>
      </c>
      <c r="D218" s="55" t="s">
        <v>461</v>
      </c>
      <c r="E218" s="55" t="s">
        <v>38</v>
      </c>
      <c r="F218" s="55"/>
    </row>
    <row r="219" spans="1:6" x14ac:dyDescent="0.35">
      <c r="A219" s="6">
        <v>218</v>
      </c>
      <c r="B219" s="48">
        <v>45838.327835648146</v>
      </c>
      <c r="C219" s="8" t="s">
        <v>462</v>
      </c>
      <c r="D219" s="8" t="s">
        <v>463</v>
      </c>
      <c r="E219" s="55" t="s">
        <v>31</v>
      </c>
      <c r="F219" s="8"/>
    </row>
    <row r="220" spans="1:6" x14ac:dyDescent="0.35">
      <c r="A220" s="54">
        <v>219</v>
      </c>
      <c r="B220" s="57">
        <v>45838.327835648146</v>
      </c>
      <c r="C220" s="55" t="s">
        <v>464</v>
      </c>
      <c r="D220" s="55" t="s">
        <v>465</v>
      </c>
      <c r="E220" s="55"/>
      <c r="F220" s="55"/>
    </row>
    <row r="221" spans="1:6" x14ac:dyDescent="0.35">
      <c r="A221" s="6">
        <v>220</v>
      </c>
      <c r="B221" s="48">
        <v>45838.327835648146</v>
      </c>
      <c r="C221" s="8" t="s">
        <v>466</v>
      </c>
      <c r="D221" s="8" t="s">
        <v>347</v>
      </c>
      <c r="E221" s="55" t="s">
        <v>31</v>
      </c>
      <c r="F221" s="8"/>
    </row>
    <row r="222" spans="1:6" x14ac:dyDescent="0.35">
      <c r="A222" s="54">
        <v>221</v>
      </c>
      <c r="B222" s="57">
        <v>45838.327835648146</v>
      </c>
      <c r="C222" s="55" t="s">
        <v>467</v>
      </c>
      <c r="D222" s="55" t="s">
        <v>468</v>
      </c>
      <c r="E222" s="55" t="s">
        <v>31</v>
      </c>
      <c r="F222" s="55"/>
    </row>
    <row r="223" spans="1:6" x14ac:dyDescent="0.35">
      <c r="A223" s="6">
        <v>222</v>
      </c>
      <c r="B223" s="48">
        <v>45838.327835648146</v>
      </c>
      <c r="C223" s="8" t="s">
        <v>469</v>
      </c>
      <c r="D223" s="8" t="s">
        <v>219</v>
      </c>
      <c r="E223" s="55" t="s">
        <v>31</v>
      </c>
      <c r="F223" s="8"/>
    </row>
    <row r="224" spans="1:6" x14ac:dyDescent="0.35">
      <c r="A224" s="54">
        <v>223</v>
      </c>
      <c r="B224" s="57">
        <v>45838.327835648146</v>
      </c>
      <c r="C224" s="55" t="s">
        <v>470</v>
      </c>
      <c r="D224" s="55" t="s">
        <v>471</v>
      </c>
      <c r="E224" s="55" t="s">
        <v>31</v>
      </c>
      <c r="F224" s="55"/>
    </row>
    <row r="225" spans="1:6" x14ac:dyDescent="0.35">
      <c r="A225" s="6">
        <v>224</v>
      </c>
      <c r="B225" s="48">
        <v>45838.327835648146</v>
      </c>
      <c r="C225" s="8" t="s">
        <v>472</v>
      </c>
      <c r="D225" s="8" t="s">
        <v>473</v>
      </c>
      <c r="E225" s="55"/>
      <c r="F225" s="8"/>
    </row>
    <row r="226" spans="1:6" x14ac:dyDescent="0.35">
      <c r="A226" s="54">
        <v>225</v>
      </c>
      <c r="B226" s="57">
        <v>45838.327835648146</v>
      </c>
      <c r="C226" s="55" t="s">
        <v>474</v>
      </c>
      <c r="D226" s="55" t="s">
        <v>475</v>
      </c>
      <c r="E226" s="55"/>
      <c r="F226" s="55"/>
    </row>
    <row r="227" spans="1:6" x14ac:dyDescent="0.35">
      <c r="A227" s="6">
        <v>226</v>
      </c>
      <c r="B227" s="48">
        <v>45838.327835648146</v>
      </c>
      <c r="C227" s="8" t="s">
        <v>476</v>
      </c>
      <c r="D227" s="8" t="s">
        <v>477</v>
      </c>
      <c r="E227" s="55"/>
      <c r="F227" s="8"/>
    </row>
    <row r="228" spans="1:6" x14ac:dyDescent="0.35">
      <c r="A228" s="54">
        <v>227</v>
      </c>
      <c r="B228" s="57">
        <v>45838.327835648146</v>
      </c>
      <c r="C228" s="55" t="s">
        <v>478</v>
      </c>
      <c r="D228" s="55" t="s">
        <v>479</v>
      </c>
      <c r="E228" s="55"/>
      <c r="F228" s="55"/>
    </row>
    <row r="229" spans="1:6" x14ac:dyDescent="0.35">
      <c r="A229" s="6">
        <v>228</v>
      </c>
      <c r="B229" s="48">
        <v>45838.327835648146</v>
      </c>
      <c r="C229" s="8" t="s">
        <v>480</v>
      </c>
      <c r="D229" s="8" t="s">
        <v>481</v>
      </c>
      <c r="E229" s="55"/>
      <c r="F229" s="8"/>
    </row>
    <row r="230" spans="1:6" x14ac:dyDescent="0.35">
      <c r="A230" s="54">
        <v>229</v>
      </c>
      <c r="B230" s="57">
        <v>45838.327835648146</v>
      </c>
      <c r="C230" s="55" t="s">
        <v>482</v>
      </c>
      <c r="D230" s="55" t="s">
        <v>483</v>
      </c>
      <c r="E230" s="55"/>
      <c r="F230" s="55"/>
    </row>
    <row r="231" spans="1:6" x14ac:dyDescent="0.35">
      <c r="A231" s="6">
        <v>230</v>
      </c>
      <c r="B231" s="48">
        <v>45838.327835648146</v>
      </c>
      <c r="C231" s="8" t="s">
        <v>484</v>
      </c>
      <c r="D231" s="8" t="s">
        <v>485</v>
      </c>
      <c r="E231" s="55"/>
      <c r="F231" s="8"/>
    </row>
    <row r="232" spans="1:6" x14ac:dyDescent="0.35">
      <c r="A232" s="54">
        <v>231</v>
      </c>
      <c r="B232" s="57">
        <v>45838.327835648146</v>
      </c>
      <c r="C232" s="55" t="s">
        <v>486</v>
      </c>
      <c r="D232" s="55" t="s">
        <v>487</v>
      </c>
      <c r="E232" s="55"/>
      <c r="F232" s="55"/>
    </row>
    <row r="233" spans="1:6" x14ac:dyDescent="0.35">
      <c r="A233" s="6">
        <v>232</v>
      </c>
      <c r="B233" s="48">
        <v>45838.327835648146</v>
      </c>
      <c r="C233" s="8" t="s">
        <v>488</v>
      </c>
      <c r="D233" s="8" t="s">
        <v>489</v>
      </c>
      <c r="E233" s="55"/>
      <c r="F233" s="8"/>
    </row>
    <row r="234" spans="1:6" x14ac:dyDescent="0.35">
      <c r="A234" s="54">
        <v>233</v>
      </c>
      <c r="B234" s="57">
        <v>45838.327835648146</v>
      </c>
      <c r="C234" s="55" t="s">
        <v>490</v>
      </c>
      <c r="D234" s="55" t="s">
        <v>491</v>
      </c>
      <c r="E234" s="55"/>
      <c r="F234" s="55"/>
    </row>
    <row r="235" spans="1:6" x14ac:dyDescent="0.35">
      <c r="A235" s="6">
        <v>234</v>
      </c>
      <c r="B235" s="48">
        <v>45838.327835648146</v>
      </c>
      <c r="C235" s="8" t="s">
        <v>492</v>
      </c>
      <c r="D235" s="8" t="s">
        <v>493</v>
      </c>
      <c r="E235" s="55"/>
      <c r="F235" s="8"/>
    </row>
    <row r="236" spans="1:6" x14ac:dyDescent="0.35">
      <c r="A236" s="54">
        <v>235</v>
      </c>
      <c r="B236" s="57">
        <v>45838.327835648146</v>
      </c>
      <c r="C236" s="55" t="s">
        <v>494</v>
      </c>
      <c r="D236" s="55" t="s">
        <v>495</v>
      </c>
      <c r="E236" s="55"/>
      <c r="F236" s="55"/>
    </row>
    <row r="237" spans="1:6" x14ac:dyDescent="0.35">
      <c r="A237" s="6">
        <v>236</v>
      </c>
      <c r="B237" s="48">
        <v>45838.327835648146</v>
      </c>
      <c r="C237" s="8" t="s">
        <v>496</v>
      </c>
      <c r="D237" s="8" t="s">
        <v>497</v>
      </c>
      <c r="E237" s="55"/>
      <c r="F237" s="8"/>
    </row>
    <row r="238" spans="1:6" x14ac:dyDescent="0.35">
      <c r="A238" s="54">
        <v>237</v>
      </c>
      <c r="B238" s="57">
        <v>45838.327835648146</v>
      </c>
      <c r="C238" s="55" t="s">
        <v>498</v>
      </c>
      <c r="D238" s="55" t="s">
        <v>481</v>
      </c>
      <c r="E238" s="55" t="s">
        <v>52</v>
      </c>
      <c r="F238" s="55"/>
    </row>
    <row r="239" spans="1:6" x14ac:dyDescent="0.35">
      <c r="A239" s="6">
        <v>238</v>
      </c>
      <c r="B239" s="48">
        <v>45838.327835648146</v>
      </c>
      <c r="C239" s="8" t="s">
        <v>499</v>
      </c>
      <c r="D239" s="8" t="s">
        <v>500</v>
      </c>
      <c r="E239" s="55" t="s">
        <v>58</v>
      </c>
      <c r="F239" s="8"/>
    </row>
    <row r="240" spans="1:6" x14ac:dyDescent="0.35">
      <c r="A240" s="54">
        <v>239</v>
      </c>
      <c r="B240" s="57">
        <v>45838.327835648146</v>
      </c>
      <c r="C240" s="55" t="s">
        <v>501</v>
      </c>
      <c r="D240" s="55" t="s">
        <v>502</v>
      </c>
      <c r="E240" s="55"/>
      <c r="F240" s="55"/>
    </row>
    <row r="241" spans="1:6" x14ac:dyDescent="0.35">
      <c r="A241" s="6">
        <v>240</v>
      </c>
      <c r="B241" s="48">
        <v>45838.327835648146</v>
      </c>
      <c r="C241" s="8" t="s">
        <v>503</v>
      </c>
      <c r="D241" s="8" t="s">
        <v>504</v>
      </c>
      <c r="E241" s="55" t="s">
        <v>31</v>
      </c>
      <c r="F241" s="8"/>
    </row>
    <row r="242" spans="1:6" x14ac:dyDescent="0.35">
      <c r="A242" s="54">
        <v>241</v>
      </c>
      <c r="B242" s="57">
        <v>45838.327835648146</v>
      </c>
      <c r="C242" s="55" t="s">
        <v>505</v>
      </c>
      <c r="D242" s="55" t="s">
        <v>506</v>
      </c>
      <c r="E242" s="55" t="s">
        <v>58</v>
      </c>
      <c r="F242" s="55"/>
    </row>
    <row r="243" spans="1:6" x14ac:dyDescent="0.35">
      <c r="A243" s="6">
        <v>242</v>
      </c>
      <c r="B243" s="48">
        <v>45838.327835648146</v>
      </c>
      <c r="C243" s="8" t="s">
        <v>507</v>
      </c>
      <c r="D243" s="8" t="s">
        <v>325</v>
      </c>
      <c r="E243" s="55" t="s">
        <v>31</v>
      </c>
      <c r="F243" s="8"/>
    </row>
    <row r="244" spans="1:6" x14ac:dyDescent="0.35">
      <c r="A244" s="54">
        <v>243</v>
      </c>
      <c r="B244" s="57">
        <v>45838.327835648146</v>
      </c>
      <c r="C244" s="55" t="s">
        <v>508</v>
      </c>
      <c r="D244" s="55" t="s">
        <v>509</v>
      </c>
      <c r="E244" s="55" t="s">
        <v>31</v>
      </c>
      <c r="F244" s="55"/>
    </row>
    <row r="245" spans="1:6" x14ac:dyDescent="0.35">
      <c r="A245" s="6">
        <v>244</v>
      </c>
      <c r="B245" s="48">
        <v>45838.327835648146</v>
      </c>
      <c r="C245" s="8" t="s">
        <v>510</v>
      </c>
      <c r="D245" s="8" t="s">
        <v>511</v>
      </c>
      <c r="E245" s="55" t="s">
        <v>31</v>
      </c>
      <c r="F245" s="8"/>
    </row>
    <row r="246" spans="1:6" x14ac:dyDescent="0.35">
      <c r="A246" s="54">
        <v>245</v>
      </c>
      <c r="B246" s="57">
        <v>45838.327835648146</v>
      </c>
      <c r="C246" s="55" t="s">
        <v>512</v>
      </c>
      <c r="D246" s="55" t="s">
        <v>513</v>
      </c>
      <c r="E246" s="55" t="s">
        <v>31</v>
      </c>
      <c r="F246" s="55"/>
    </row>
    <row r="247" spans="1:6" x14ac:dyDescent="0.35">
      <c r="A247" s="6">
        <v>246</v>
      </c>
      <c r="B247" s="48">
        <v>45838.327835648146</v>
      </c>
      <c r="C247" s="8" t="s">
        <v>514</v>
      </c>
      <c r="D247" s="8" t="s">
        <v>513</v>
      </c>
      <c r="E247" s="55" t="s">
        <v>31</v>
      </c>
      <c r="F247" s="8"/>
    </row>
    <row r="248" spans="1:6" x14ac:dyDescent="0.35">
      <c r="A248" s="54">
        <v>247</v>
      </c>
      <c r="B248" s="57">
        <v>45838.327835648146</v>
      </c>
      <c r="C248" s="55" t="s">
        <v>515</v>
      </c>
      <c r="D248" s="55" t="s">
        <v>516</v>
      </c>
      <c r="E248" s="55" t="s">
        <v>31</v>
      </c>
      <c r="F248" s="55"/>
    </row>
    <row r="249" spans="1:6" x14ac:dyDescent="0.35">
      <c r="A249" s="6">
        <v>248</v>
      </c>
      <c r="B249" s="48">
        <v>45838.327835648146</v>
      </c>
      <c r="C249" s="8" t="s">
        <v>517</v>
      </c>
      <c r="D249" s="8" t="s">
        <v>518</v>
      </c>
      <c r="E249" s="55" t="s">
        <v>31</v>
      </c>
      <c r="F249" s="8"/>
    </row>
    <row r="250" spans="1:6" x14ac:dyDescent="0.35">
      <c r="A250" s="54">
        <v>249</v>
      </c>
      <c r="B250" s="57">
        <v>45838.327835648146</v>
      </c>
      <c r="C250" s="55" t="s">
        <v>519</v>
      </c>
      <c r="D250" s="55" t="s">
        <v>516</v>
      </c>
      <c r="E250" s="55" t="s">
        <v>31</v>
      </c>
      <c r="F250" s="55"/>
    </row>
    <row r="251" spans="1:6" x14ac:dyDescent="0.35">
      <c r="A251" s="6">
        <v>250</v>
      </c>
      <c r="B251" s="48">
        <v>45838.327835648146</v>
      </c>
      <c r="C251" s="8" t="s">
        <v>520</v>
      </c>
      <c r="D251" s="8" t="s">
        <v>518</v>
      </c>
      <c r="E251" s="55" t="s">
        <v>31</v>
      </c>
      <c r="F251" s="8"/>
    </row>
    <row r="252" spans="1:6" x14ac:dyDescent="0.35">
      <c r="A252" s="54">
        <v>251</v>
      </c>
      <c r="B252" s="57">
        <v>45838.327835648146</v>
      </c>
      <c r="C252" s="55" t="s">
        <v>521</v>
      </c>
      <c r="D252" s="55" t="s">
        <v>516</v>
      </c>
      <c r="E252" s="55" t="s">
        <v>31</v>
      </c>
      <c r="F252" s="55"/>
    </row>
    <row r="253" spans="1:6" x14ac:dyDescent="0.35">
      <c r="A253" s="6">
        <v>252</v>
      </c>
      <c r="B253" s="48">
        <v>45838.327835648146</v>
      </c>
      <c r="C253" s="8" t="s">
        <v>522</v>
      </c>
      <c r="D253" s="8" t="s">
        <v>518</v>
      </c>
      <c r="E253" s="55" t="s">
        <v>31</v>
      </c>
      <c r="F253" s="8"/>
    </row>
    <row r="254" spans="1:6" x14ac:dyDescent="0.35">
      <c r="A254" s="54">
        <v>253</v>
      </c>
      <c r="B254" s="57">
        <v>45838.327835648146</v>
      </c>
      <c r="C254" s="55" t="s">
        <v>523</v>
      </c>
      <c r="D254" s="55" t="s">
        <v>403</v>
      </c>
      <c r="E254" s="55" t="s">
        <v>61</v>
      </c>
      <c r="F254" s="55"/>
    </row>
    <row r="255" spans="1:6" x14ac:dyDescent="0.35">
      <c r="A255" s="6">
        <v>254</v>
      </c>
      <c r="B255" s="48">
        <v>45838.327835648146</v>
      </c>
      <c r="C255" s="8" t="s">
        <v>524</v>
      </c>
      <c r="D255" s="8" t="s">
        <v>403</v>
      </c>
      <c r="E255" s="55" t="s">
        <v>61</v>
      </c>
      <c r="F255" s="8"/>
    </row>
    <row r="256" spans="1:6" x14ac:dyDescent="0.35">
      <c r="A256" s="54">
        <v>255</v>
      </c>
      <c r="B256" s="57">
        <v>45838.327835648146</v>
      </c>
      <c r="C256" s="55" t="s">
        <v>525</v>
      </c>
      <c r="D256" s="55" t="s">
        <v>403</v>
      </c>
      <c r="E256" s="55" t="s">
        <v>526</v>
      </c>
      <c r="F256" s="55"/>
    </row>
    <row r="257" spans="1:6" x14ac:dyDescent="0.35">
      <c r="A257" s="6">
        <v>256</v>
      </c>
      <c r="B257" s="48">
        <v>45838.327835648146</v>
      </c>
      <c r="C257" s="8" t="s">
        <v>527</v>
      </c>
      <c r="D257" s="8" t="s">
        <v>403</v>
      </c>
      <c r="E257" s="55" t="s">
        <v>526</v>
      </c>
      <c r="F257" s="8"/>
    </row>
    <row r="258" spans="1:6" x14ac:dyDescent="0.35">
      <c r="A258" s="54">
        <v>257</v>
      </c>
      <c r="B258" s="57">
        <v>45838.327835648146</v>
      </c>
      <c r="C258" s="55" t="s">
        <v>528</v>
      </c>
      <c r="D258" s="55" t="s">
        <v>513</v>
      </c>
      <c r="E258" s="55" t="s">
        <v>31</v>
      </c>
      <c r="F258" s="55"/>
    </row>
    <row r="259" spans="1:6" x14ac:dyDescent="0.35">
      <c r="A259" s="6">
        <v>258</v>
      </c>
      <c r="B259" s="48">
        <v>45838.327835648146</v>
      </c>
      <c r="C259" s="8" t="s">
        <v>529</v>
      </c>
      <c r="D259" s="8" t="s">
        <v>513</v>
      </c>
      <c r="E259" s="55" t="s">
        <v>31</v>
      </c>
      <c r="F259" s="8"/>
    </row>
    <row r="260" spans="1:6" x14ac:dyDescent="0.35">
      <c r="A260" s="54">
        <v>259</v>
      </c>
      <c r="B260" s="57">
        <v>45838.327835648146</v>
      </c>
      <c r="C260" s="55" t="s">
        <v>530</v>
      </c>
      <c r="D260" s="55" t="s">
        <v>513</v>
      </c>
      <c r="E260" s="55" t="s">
        <v>31</v>
      </c>
      <c r="F260" s="55"/>
    </row>
    <row r="261" spans="1:6" x14ac:dyDescent="0.35">
      <c r="A261" s="6">
        <v>260</v>
      </c>
      <c r="B261" s="48">
        <v>45838.327835648146</v>
      </c>
      <c r="C261" s="8" t="s">
        <v>531</v>
      </c>
      <c r="D261" s="8" t="s">
        <v>513</v>
      </c>
      <c r="E261" s="55" t="s">
        <v>31</v>
      </c>
      <c r="F261" s="8"/>
    </row>
    <row r="262" spans="1:6" x14ac:dyDescent="0.35">
      <c r="A262" s="54">
        <v>261</v>
      </c>
      <c r="B262" s="57">
        <v>45838.327835648146</v>
      </c>
      <c r="C262" s="55" t="s">
        <v>532</v>
      </c>
      <c r="D262" s="55" t="s">
        <v>533</v>
      </c>
      <c r="E262" s="55" t="s">
        <v>58</v>
      </c>
      <c r="F262" s="55"/>
    </row>
    <row r="263" spans="1:6" x14ac:dyDescent="0.35">
      <c r="A263" s="6">
        <v>262</v>
      </c>
      <c r="B263" s="48">
        <v>45838.327835648146</v>
      </c>
      <c r="C263" s="8" t="s">
        <v>534</v>
      </c>
      <c r="D263" s="8" t="s">
        <v>533</v>
      </c>
      <c r="E263" s="55" t="s">
        <v>58</v>
      </c>
      <c r="F263" s="8"/>
    </row>
    <row r="264" spans="1:6" x14ac:dyDescent="0.35">
      <c r="A264" s="54">
        <v>263</v>
      </c>
      <c r="B264" s="57">
        <v>45838.327835648146</v>
      </c>
      <c r="C264" s="55" t="s">
        <v>535</v>
      </c>
      <c r="D264" s="55" t="s">
        <v>536</v>
      </c>
      <c r="E264" s="55" t="s">
        <v>31</v>
      </c>
      <c r="F264" s="55"/>
    </row>
    <row r="265" spans="1:6" x14ac:dyDescent="0.35">
      <c r="A265" s="6">
        <v>264</v>
      </c>
      <c r="B265" s="48">
        <v>45838.327835648146</v>
      </c>
      <c r="C265" s="8" t="s">
        <v>537</v>
      </c>
      <c r="D265" s="8" t="s">
        <v>536</v>
      </c>
      <c r="E265" s="55" t="s">
        <v>31</v>
      </c>
      <c r="F265" s="8"/>
    </row>
    <row r="266" spans="1:6" x14ac:dyDescent="0.35">
      <c r="A266" s="54">
        <v>265</v>
      </c>
      <c r="B266" s="57">
        <v>45838.327835648146</v>
      </c>
      <c r="C266" s="55" t="s">
        <v>538</v>
      </c>
      <c r="D266" s="55" t="s">
        <v>516</v>
      </c>
      <c r="E266" s="55" t="s">
        <v>90</v>
      </c>
      <c r="F266" s="55"/>
    </row>
    <row r="267" spans="1:6" x14ac:dyDescent="0.35">
      <c r="A267" s="6">
        <v>266</v>
      </c>
      <c r="B267" s="48">
        <v>45838.327835648146</v>
      </c>
      <c r="C267" s="8" t="s">
        <v>539</v>
      </c>
      <c r="D267" s="8" t="s">
        <v>518</v>
      </c>
      <c r="E267" s="55" t="s">
        <v>90</v>
      </c>
      <c r="F267" s="8"/>
    </row>
    <row r="268" spans="1:6" x14ac:dyDescent="0.35">
      <c r="A268" s="54">
        <v>267</v>
      </c>
      <c r="B268" s="57">
        <v>45838.327835648146</v>
      </c>
      <c r="C268" s="55" t="s">
        <v>540</v>
      </c>
      <c r="D268" s="55" t="s">
        <v>541</v>
      </c>
      <c r="E268" s="55"/>
      <c r="F268" s="55"/>
    </row>
    <row r="269" spans="1:6" x14ac:dyDescent="0.35">
      <c r="A269" s="6">
        <v>268</v>
      </c>
      <c r="B269" s="48">
        <v>45838.327835648146</v>
      </c>
      <c r="C269" s="8" t="s">
        <v>542</v>
      </c>
      <c r="D269" s="8" t="s">
        <v>543</v>
      </c>
      <c r="E269" s="55"/>
      <c r="F269" s="8"/>
    </row>
    <row r="270" spans="1:6" x14ac:dyDescent="0.35">
      <c r="A270" s="54">
        <v>269</v>
      </c>
      <c r="B270" s="57">
        <v>45838.327835648146</v>
      </c>
      <c r="C270" s="55" t="s">
        <v>544</v>
      </c>
      <c r="D270" s="55" t="s">
        <v>545</v>
      </c>
      <c r="E270" s="55"/>
      <c r="F270" s="55"/>
    </row>
    <row r="271" spans="1:6" x14ac:dyDescent="0.35">
      <c r="A271" s="6">
        <v>270</v>
      </c>
      <c r="B271" s="48">
        <v>45838.327835648146</v>
      </c>
      <c r="C271" s="8" t="s">
        <v>546</v>
      </c>
      <c r="D271" s="8" t="s">
        <v>547</v>
      </c>
      <c r="E271" s="55"/>
      <c r="F271" s="8"/>
    </row>
    <row r="272" spans="1:6" x14ac:dyDescent="0.35">
      <c r="A272" s="54">
        <v>271</v>
      </c>
      <c r="B272" s="57">
        <v>45838.327835648146</v>
      </c>
      <c r="C272" s="55" t="s">
        <v>548</v>
      </c>
      <c r="D272" s="55" t="s">
        <v>549</v>
      </c>
      <c r="E272" s="55"/>
      <c r="F272" s="55"/>
    </row>
    <row r="273" spans="1:6" x14ac:dyDescent="0.35">
      <c r="A273" s="6">
        <v>272</v>
      </c>
      <c r="B273" s="48">
        <v>45838.327835648146</v>
      </c>
      <c r="C273" s="8" t="s">
        <v>550</v>
      </c>
      <c r="D273" s="8" t="s">
        <v>551</v>
      </c>
      <c r="E273" s="55"/>
      <c r="F273" s="8"/>
    </row>
    <row r="274" spans="1:6" x14ac:dyDescent="0.35">
      <c r="A274" s="54">
        <v>273</v>
      </c>
      <c r="B274" s="57">
        <v>45838.327835648146</v>
      </c>
      <c r="C274" s="55" t="s">
        <v>552</v>
      </c>
      <c r="D274" s="55" t="s">
        <v>553</v>
      </c>
      <c r="E274" s="55"/>
      <c r="F274" s="55"/>
    </row>
    <row r="275" spans="1:6" x14ac:dyDescent="0.35">
      <c r="A275" s="6">
        <v>274</v>
      </c>
      <c r="B275" s="48">
        <v>45838.327835648146</v>
      </c>
      <c r="C275" s="8" t="s">
        <v>554</v>
      </c>
      <c r="D275" s="8" t="s">
        <v>555</v>
      </c>
      <c r="E275" s="55">
        <v>3</v>
      </c>
      <c r="F275" s="8"/>
    </row>
    <row r="276" spans="1:6" x14ac:dyDescent="0.35">
      <c r="A276" s="54">
        <v>275</v>
      </c>
      <c r="B276" s="57">
        <v>45838.327835648146</v>
      </c>
      <c r="C276" s="55" t="s">
        <v>556</v>
      </c>
      <c r="D276" s="55" t="s">
        <v>557</v>
      </c>
      <c r="E276" s="55"/>
      <c r="F276" s="55"/>
    </row>
    <row r="277" spans="1:6" x14ac:dyDescent="0.35">
      <c r="A277" s="6">
        <v>276</v>
      </c>
      <c r="B277" s="48">
        <v>45838.327835648146</v>
      </c>
      <c r="C277" s="8" t="s">
        <v>558</v>
      </c>
      <c r="D277" s="8" t="s">
        <v>559</v>
      </c>
      <c r="E277" s="55" t="s">
        <v>58</v>
      </c>
      <c r="F277" s="8"/>
    </row>
    <row r="278" spans="1:6" x14ac:dyDescent="0.35">
      <c r="A278" s="54">
        <v>277</v>
      </c>
      <c r="B278" s="57">
        <v>45838.327835648146</v>
      </c>
      <c r="C278" s="55" t="s">
        <v>560</v>
      </c>
      <c r="D278" s="55" t="s">
        <v>561</v>
      </c>
      <c r="E278" s="55" t="s">
        <v>31</v>
      </c>
      <c r="F278" s="55"/>
    </row>
    <row r="279" spans="1:6" x14ac:dyDescent="0.35">
      <c r="A279" s="6">
        <v>278</v>
      </c>
      <c r="B279" s="48">
        <v>45838.327835648146</v>
      </c>
      <c r="C279" s="8" t="s">
        <v>562</v>
      </c>
      <c r="D279" s="8" t="s">
        <v>563</v>
      </c>
      <c r="E279" s="55" t="s">
        <v>31</v>
      </c>
      <c r="F279" s="8"/>
    </row>
    <row r="280" spans="1:6" x14ac:dyDescent="0.35">
      <c r="A280" s="54">
        <v>279</v>
      </c>
      <c r="B280" s="57">
        <v>45838.327835648146</v>
      </c>
      <c r="C280" s="55" t="s">
        <v>564</v>
      </c>
      <c r="D280" s="55" t="s">
        <v>565</v>
      </c>
      <c r="E280" s="55" t="s">
        <v>31</v>
      </c>
      <c r="F280" s="55"/>
    </row>
    <row r="281" spans="1:6" x14ac:dyDescent="0.35">
      <c r="A281" s="6">
        <v>280</v>
      </c>
      <c r="B281" s="48">
        <v>45838.327835648146</v>
      </c>
      <c r="C281" s="8" t="s">
        <v>566</v>
      </c>
      <c r="D281" s="8" t="s">
        <v>211</v>
      </c>
      <c r="E281" s="55" t="s">
        <v>52</v>
      </c>
      <c r="F281" s="8"/>
    </row>
    <row r="282" spans="1:6" x14ac:dyDescent="0.35">
      <c r="A282" s="54">
        <v>281</v>
      </c>
      <c r="B282" s="57">
        <v>45838.327835648146</v>
      </c>
      <c r="C282" s="55" t="s">
        <v>567</v>
      </c>
      <c r="D282" s="55" t="s">
        <v>568</v>
      </c>
      <c r="E282" s="55" t="s">
        <v>31</v>
      </c>
      <c r="F282" s="55"/>
    </row>
    <row r="283" spans="1:6" x14ac:dyDescent="0.35">
      <c r="A283" s="6">
        <v>282</v>
      </c>
      <c r="B283" s="48">
        <v>45838.327835648146</v>
      </c>
      <c r="C283" s="8" t="s">
        <v>569</v>
      </c>
      <c r="D283" s="8" t="s">
        <v>568</v>
      </c>
      <c r="E283" s="55"/>
      <c r="F283" s="8"/>
    </row>
    <row r="284" spans="1:6" x14ac:dyDescent="0.35">
      <c r="A284" s="54">
        <v>283</v>
      </c>
      <c r="B284" s="57">
        <v>45838.327835648146</v>
      </c>
      <c r="C284" s="55" t="s">
        <v>570</v>
      </c>
      <c r="D284" s="55" t="s">
        <v>571</v>
      </c>
      <c r="E284" s="55" t="s">
        <v>80</v>
      </c>
      <c r="F284" s="55"/>
    </row>
    <row r="285" spans="1:6" x14ac:dyDescent="0.35">
      <c r="A285" s="6">
        <v>284</v>
      </c>
      <c r="B285" s="48">
        <v>45838.327835648146</v>
      </c>
      <c r="C285" s="8" t="s">
        <v>572</v>
      </c>
      <c r="D285" s="8" t="s">
        <v>573</v>
      </c>
      <c r="E285" s="55"/>
      <c r="F285" s="8"/>
    </row>
    <row r="286" spans="1:6" x14ac:dyDescent="0.35">
      <c r="A286" s="54">
        <v>285</v>
      </c>
      <c r="B286" s="57">
        <v>45838.327835648146</v>
      </c>
      <c r="C286" s="55" t="s">
        <v>574</v>
      </c>
      <c r="D286" s="55" t="s">
        <v>575</v>
      </c>
      <c r="E286" s="55"/>
      <c r="F286" s="55"/>
    </row>
    <row r="287" spans="1:6" x14ac:dyDescent="0.35">
      <c r="A287" s="6">
        <v>286</v>
      </c>
      <c r="B287" s="48">
        <v>45838.327835648146</v>
      </c>
      <c r="C287" s="8" t="s">
        <v>576</v>
      </c>
      <c r="D287" s="8" t="s">
        <v>577</v>
      </c>
      <c r="E287" s="55"/>
      <c r="F287" s="8"/>
    </row>
    <row r="288" spans="1:6" x14ac:dyDescent="0.35">
      <c r="A288" s="54">
        <v>287</v>
      </c>
      <c r="B288" s="57">
        <v>45838.327835648146</v>
      </c>
      <c r="C288" s="55" t="s">
        <v>578</v>
      </c>
      <c r="D288" s="55" t="s">
        <v>579</v>
      </c>
      <c r="E288" s="55"/>
      <c r="F288" s="55"/>
    </row>
    <row r="289" spans="1:6" x14ac:dyDescent="0.35">
      <c r="A289" s="6">
        <v>288</v>
      </c>
      <c r="B289" s="48">
        <v>45838.327835648146</v>
      </c>
      <c r="C289" s="8" t="s">
        <v>580</v>
      </c>
      <c r="D289" s="8" t="s">
        <v>581</v>
      </c>
      <c r="E289" s="55"/>
      <c r="F289" s="8"/>
    </row>
    <row r="290" spans="1:6" x14ac:dyDescent="0.35">
      <c r="A290" s="54">
        <v>289</v>
      </c>
      <c r="B290" s="57">
        <v>45838.327835648146</v>
      </c>
      <c r="C290" s="55" t="s">
        <v>582</v>
      </c>
      <c r="D290" s="55" t="s">
        <v>583</v>
      </c>
      <c r="E290" s="55"/>
      <c r="F290" s="55"/>
    </row>
    <row r="291" spans="1:6" x14ac:dyDescent="0.35">
      <c r="A291" s="6">
        <v>290</v>
      </c>
      <c r="B291" s="48">
        <v>45838.327835648146</v>
      </c>
      <c r="C291" s="8" t="s">
        <v>584</v>
      </c>
      <c r="D291" s="8" t="s">
        <v>585</v>
      </c>
      <c r="E291" s="55" t="s">
        <v>31</v>
      </c>
      <c r="F291" s="8"/>
    </row>
    <row r="292" spans="1:6" x14ac:dyDescent="0.35">
      <c r="A292" s="54">
        <v>291</v>
      </c>
      <c r="B292" s="57">
        <v>45838.327835648146</v>
      </c>
      <c r="C292" s="55" t="s">
        <v>586</v>
      </c>
      <c r="D292" s="55" t="s">
        <v>585</v>
      </c>
      <c r="E292" s="55"/>
      <c r="F292" s="55"/>
    </row>
    <row r="293" spans="1:6" x14ac:dyDescent="0.35">
      <c r="A293" s="6">
        <v>292</v>
      </c>
      <c r="B293" s="48">
        <v>45838.327835648146</v>
      </c>
      <c r="C293" s="8" t="s">
        <v>587</v>
      </c>
      <c r="D293" s="8" t="s">
        <v>588</v>
      </c>
      <c r="E293" s="55"/>
      <c r="F293" s="8"/>
    </row>
    <row r="294" spans="1:6" x14ac:dyDescent="0.35">
      <c r="A294" s="54">
        <v>293</v>
      </c>
      <c r="B294" s="57">
        <v>45838.327835648146</v>
      </c>
      <c r="C294" s="55" t="s">
        <v>589</v>
      </c>
      <c r="D294" s="55" t="s">
        <v>590</v>
      </c>
      <c r="E294" s="55"/>
      <c r="F294" s="55"/>
    </row>
    <row r="295" spans="1:6" x14ac:dyDescent="0.35">
      <c r="A295" s="6">
        <v>294</v>
      </c>
      <c r="B295" s="48">
        <v>45838.327835648146</v>
      </c>
      <c r="C295" s="8" t="s">
        <v>591</v>
      </c>
      <c r="D295" s="8" t="s">
        <v>592</v>
      </c>
      <c r="E295" s="55"/>
      <c r="F295" s="8"/>
    </row>
    <row r="296" spans="1:6" x14ac:dyDescent="0.35">
      <c r="A296" s="54">
        <v>295</v>
      </c>
      <c r="B296" s="57">
        <v>45838.327835648146</v>
      </c>
      <c r="C296" s="55" t="s">
        <v>593</v>
      </c>
      <c r="D296" s="55" t="s">
        <v>594</v>
      </c>
      <c r="E296" s="55"/>
      <c r="F296" s="55"/>
    </row>
    <row r="297" spans="1:6" x14ac:dyDescent="0.35">
      <c r="A297" s="6">
        <v>296</v>
      </c>
      <c r="B297" s="48">
        <v>45838.327835648146</v>
      </c>
      <c r="C297" s="8" t="s">
        <v>595</v>
      </c>
      <c r="D297" s="8" t="s">
        <v>596</v>
      </c>
      <c r="E297" s="55" t="s">
        <v>31</v>
      </c>
      <c r="F297" s="8"/>
    </row>
    <row r="298" spans="1:6" x14ac:dyDescent="0.35">
      <c r="A298" s="54">
        <v>297</v>
      </c>
      <c r="B298" s="57">
        <v>45838.327835648146</v>
      </c>
      <c r="C298" s="55" t="s">
        <v>597</v>
      </c>
      <c r="D298" s="55" t="s">
        <v>598</v>
      </c>
      <c r="E298" s="55"/>
      <c r="F298" s="55"/>
    </row>
    <row r="299" spans="1:6" x14ac:dyDescent="0.35">
      <c r="A299" s="6">
        <v>298</v>
      </c>
      <c r="B299" s="48">
        <v>45838.327835648146</v>
      </c>
      <c r="C299" s="8" t="s">
        <v>599</v>
      </c>
      <c r="D299" s="8" t="s">
        <v>600</v>
      </c>
      <c r="E299" s="55" t="s">
        <v>31</v>
      </c>
      <c r="F299" s="8"/>
    </row>
    <row r="300" spans="1:6" x14ac:dyDescent="0.35">
      <c r="A300" s="54">
        <v>299</v>
      </c>
      <c r="B300" s="57">
        <v>45838.327835648146</v>
      </c>
      <c r="C300" s="55" t="s">
        <v>601</v>
      </c>
      <c r="D300" s="55" t="s">
        <v>602</v>
      </c>
      <c r="E300" s="55"/>
      <c r="F300" s="55"/>
    </row>
    <row r="301" spans="1:6" x14ac:dyDescent="0.35">
      <c r="A301" s="6">
        <v>300</v>
      </c>
      <c r="B301" s="48">
        <v>45838.327835648146</v>
      </c>
      <c r="C301" s="8" t="s">
        <v>603</v>
      </c>
      <c r="D301" s="8" t="s">
        <v>604</v>
      </c>
      <c r="E301" s="55"/>
      <c r="F301" s="8"/>
    </row>
    <row r="302" spans="1:6" x14ac:dyDescent="0.35">
      <c r="A302" s="54">
        <v>301</v>
      </c>
      <c r="B302" s="57">
        <v>45838.327835648146</v>
      </c>
      <c r="C302" s="55" t="s">
        <v>605</v>
      </c>
      <c r="D302" s="55" t="s">
        <v>606</v>
      </c>
      <c r="E302" s="55"/>
      <c r="F302" s="55"/>
    </row>
    <row r="303" spans="1:6" x14ac:dyDescent="0.35">
      <c r="A303" s="6">
        <v>302</v>
      </c>
      <c r="B303" s="48">
        <v>45838.327835648146</v>
      </c>
      <c r="C303" s="8" t="s">
        <v>607</v>
      </c>
      <c r="D303" s="8" t="s">
        <v>608</v>
      </c>
      <c r="E303" s="55" t="s">
        <v>609</v>
      </c>
      <c r="F303" s="8"/>
    </row>
    <row r="304" spans="1:6" x14ac:dyDescent="0.35">
      <c r="A304" s="54">
        <v>303</v>
      </c>
      <c r="B304" s="57">
        <v>45838.327835648146</v>
      </c>
      <c r="C304" s="55" t="s">
        <v>610</v>
      </c>
      <c r="D304" s="55" t="s">
        <v>611</v>
      </c>
      <c r="E304" s="55"/>
      <c r="F304" s="55"/>
    </row>
    <row r="305" spans="1:6" x14ac:dyDescent="0.35">
      <c r="A305" s="6">
        <v>304</v>
      </c>
      <c r="B305" s="48">
        <v>45838.327835648146</v>
      </c>
      <c r="C305" s="8" t="s">
        <v>612</v>
      </c>
      <c r="D305" s="8" t="s">
        <v>613</v>
      </c>
      <c r="E305" s="55"/>
      <c r="F305" s="8"/>
    </row>
    <row r="306" spans="1:6" x14ac:dyDescent="0.35">
      <c r="A306" s="54">
        <v>305</v>
      </c>
      <c r="B306" s="57">
        <v>45838.327835648146</v>
      </c>
      <c r="C306" s="55" t="s">
        <v>614</v>
      </c>
      <c r="D306" s="55" t="s">
        <v>615</v>
      </c>
      <c r="E306" s="55" t="s">
        <v>52</v>
      </c>
      <c r="F306" s="55"/>
    </row>
    <row r="307" spans="1:6" x14ac:dyDescent="0.35">
      <c r="A307" s="6">
        <v>306</v>
      </c>
      <c r="B307" s="48">
        <v>45838.327835648146</v>
      </c>
      <c r="C307" s="8" t="s">
        <v>616</v>
      </c>
      <c r="D307" s="8" t="s">
        <v>617</v>
      </c>
      <c r="E307" s="55"/>
      <c r="F307" s="8"/>
    </row>
    <row r="308" spans="1:6" x14ac:dyDescent="0.35">
      <c r="A308" s="54">
        <v>307</v>
      </c>
      <c r="B308" s="57">
        <v>45838.327835648146</v>
      </c>
      <c r="C308" s="55" t="s">
        <v>618</v>
      </c>
      <c r="D308" s="55" t="s">
        <v>619</v>
      </c>
      <c r="E308" s="56">
        <v>45703</v>
      </c>
      <c r="F308" s="55"/>
    </row>
    <row r="309" spans="1:6" x14ac:dyDescent="0.35">
      <c r="A309" s="6">
        <v>308</v>
      </c>
      <c r="B309" s="48">
        <v>45838.327835648146</v>
      </c>
      <c r="C309" s="8" t="s">
        <v>620</v>
      </c>
      <c r="D309" s="8" t="s">
        <v>621</v>
      </c>
      <c r="E309" s="56">
        <v>45975</v>
      </c>
      <c r="F309" s="8"/>
    </row>
    <row r="310" spans="1:6" x14ac:dyDescent="0.35">
      <c r="A310" s="54">
        <v>309</v>
      </c>
      <c r="B310" s="57">
        <v>45838.327835648146</v>
      </c>
      <c r="C310" s="55" t="s">
        <v>622</v>
      </c>
      <c r="D310" s="55" t="s">
        <v>623</v>
      </c>
      <c r="E310" s="56"/>
      <c r="F310" s="55"/>
    </row>
    <row r="311" spans="1:6" x14ac:dyDescent="0.35">
      <c r="A311" s="6">
        <v>310</v>
      </c>
      <c r="B311" s="48">
        <v>45838.327835648146</v>
      </c>
      <c r="C311" s="8" t="s">
        <v>624</v>
      </c>
      <c r="D311" s="8" t="s">
        <v>625</v>
      </c>
      <c r="E311" s="56">
        <v>45734</v>
      </c>
      <c r="F311" s="8"/>
    </row>
    <row r="312" spans="1:6" x14ac:dyDescent="0.35">
      <c r="A312" s="54">
        <v>311</v>
      </c>
      <c r="B312" s="57">
        <v>45838.327835648146</v>
      </c>
      <c r="C312" s="55" t="s">
        <v>626</v>
      </c>
      <c r="D312" s="55" t="s">
        <v>627</v>
      </c>
      <c r="E312" s="56">
        <v>45672</v>
      </c>
      <c r="F312" s="55"/>
    </row>
    <row r="313" spans="1:6" x14ac:dyDescent="0.35">
      <c r="A313" s="6">
        <v>312</v>
      </c>
      <c r="B313" s="48">
        <v>45838.327835648146</v>
      </c>
      <c r="C313" s="8" t="s">
        <v>628</v>
      </c>
      <c r="D313" s="8" t="s">
        <v>629</v>
      </c>
      <c r="E313" s="56">
        <v>45763</v>
      </c>
      <c r="F313" s="8"/>
    </row>
    <row r="314" spans="1:6" x14ac:dyDescent="0.35">
      <c r="A314" s="54">
        <v>313</v>
      </c>
      <c r="B314" s="57">
        <v>45838.327835648146</v>
      </c>
      <c r="C314" s="55" t="s">
        <v>630</v>
      </c>
      <c r="D314" s="55" t="s">
        <v>631</v>
      </c>
      <c r="E314" s="56"/>
      <c r="F314" s="55"/>
    </row>
    <row r="315" spans="1:6" x14ac:dyDescent="0.35">
      <c r="A315" s="6">
        <v>314</v>
      </c>
      <c r="B315" s="48">
        <v>45838.327835648146</v>
      </c>
      <c r="C315" s="8" t="s">
        <v>632</v>
      </c>
      <c r="D315" s="8" t="s">
        <v>633</v>
      </c>
      <c r="E315" s="56">
        <v>45672</v>
      </c>
      <c r="F315" s="8"/>
    </row>
    <row r="316" spans="1:6" x14ac:dyDescent="0.35">
      <c r="A316" s="54">
        <v>315</v>
      </c>
      <c r="B316" s="57">
        <v>45838.327835648146</v>
      </c>
      <c r="C316" s="55" t="s">
        <v>634</v>
      </c>
      <c r="D316" s="55" t="s">
        <v>635</v>
      </c>
      <c r="E316" s="56"/>
      <c r="F316" s="55"/>
    </row>
    <row r="317" spans="1:6" x14ac:dyDescent="0.35">
      <c r="A317" s="6">
        <v>316</v>
      </c>
      <c r="B317" s="48">
        <v>45838.327835648146</v>
      </c>
      <c r="C317" s="8" t="s">
        <v>636</v>
      </c>
      <c r="D317" s="8" t="s">
        <v>637</v>
      </c>
      <c r="E317" s="55"/>
      <c r="F317" s="8"/>
    </row>
    <row r="318" spans="1:6" x14ac:dyDescent="0.35">
      <c r="A318" s="54">
        <v>317</v>
      </c>
      <c r="B318" s="57">
        <v>45838.327835648146</v>
      </c>
      <c r="C318" s="55" t="s">
        <v>638</v>
      </c>
      <c r="D318" s="55" t="s">
        <v>639</v>
      </c>
      <c r="E318" s="55"/>
      <c r="F318" s="55"/>
    </row>
    <row r="319" spans="1:6" x14ac:dyDescent="0.35">
      <c r="A319" s="6">
        <v>318</v>
      </c>
      <c r="B319" s="48">
        <v>45838.327835648146</v>
      </c>
      <c r="C319" s="8" t="s">
        <v>640</v>
      </c>
      <c r="D319" s="8" t="s">
        <v>641</v>
      </c>
      <c r="E319" s="55"/>
      <c r="F319" s="8"/>
    </row>
    <row r="320" spans="1:6" x14ac:dyDescent="0.35">
      <c r="A320" s="54">
        <v>319</v>
      </c>
      <c r="B320" s="57">
        <v>45838.327835648146</v>
      </c>
      <c r="C320" s="55" t="s">
        <v>642</v>
      </c>
      <c r="D320" s="55" t="s">
        <v>643</v>
      </c>
      <c r="E320" s="55"/>
      <c r="F320" s="55"/>
    </row>
    <row r="321" spans="1:6" x14ac:dyDescent="0.35">
      <c r="A321" s="6">
        <v>320</v>
      </c>
      <c r="B321" s="48">
        <v>45838.327835648146</v>
      </c>
      <c r="C321" s="8" t="s">
        <v>644</v>
      </c>
      <c r="D321" s="8" t="s">
        <v>645</v>
      </c>
      <c r="E321" s="55"/>
      <c r="F321" s="8"/>
    </row>
    <row r="322" spans="1:6" x14ac:dyDescent="0.35">
      <c r="A322" s="54">
        <v>321</v>
      </c>
      <c r="B322" s="57">
        <v>45838.327835648146</v>
      </c>
      <c r="C322" s="55" t="s">
        <v>646</v>
      </c>
      <c r="D322" s="55" t="s">
        <v>647</v>
      </c>
      <c r="E322" s="55"/>
      <c r="F322" s="55"/>
    </row>
    <row r="323" spans="1:6" x14ac:dyDescent="0.35">
      <c r="A323" s="6">
        <v>322</v>
      </c>
      <c r="B323" s="48">
        <v>45838.327835648146</v>
      </c>
      <c r="C323" s="8" t="s">
        <v>648</v>
      </c>
      <c r="D323" s="8" t="s">
        <v>649</v>
      </c>
      <c r="E323" s="55"/>
      <c r="F323" s="8"/>
    </row>
    <row r="324" spans="1:6" x14ac:dyDescent="0.35">
      <c r="A324" s="54">
        <v>323</v>
      </c>
      <c r="B324" s="57">
        <v>45838.327835648146</v>
      </c>
      <c r="C324" s="55" t="s">
        <v>650</v>
      </c>
      <c r="D324" s="55" t="s">
        <v>651</v>
      </c>
      <c r="E324" s="55" t="s">
        <v>31</v>
      </c>
      <c r="F324" s="55"/>
    </row>
    <row r="325" spans="1:6" x14ac:dyDescent="0.35">
      <c r="A325" s="6">
        <v>324</v>
      </c>
      <c r="B325" s="48">
        <v>45838.327835648146</v>
      </c>
      <c r="C325" s="8" t="s">
        <v>652</v>
      </c>
      <c r="D325" s="8" t="s">
        <v>653</v>
      </c>
      <c r="E325" s="55"/>
      <c r="F325" s="8"/>
    </row>
    <row r="326" spans="1:6" x14ac:dyDescent="0.35">
      <c r="A326" s="54">
        <v>325</v>
      </c>
      <c r="B326" s="57">
        <v>45838.327835648146</v>
      </c>
      <c r="C326" s="55" t="s">
        <v>654</v>
      </c>
      <c r="D326" s="55" t="s">
        <v>655</v>
      </c>
      <c r="E326" s="55"/>
      <c r="F326" s="55"/>
    </row>
    <row r="327" spans="1:6" x14ac:dyDescent="0.35">
      <c r="A327" s="6">
        <v>326</v>
      </c>
      <c r="B327" s="48">
        <v>45838.327835648146</v>
      </c>
      <c r="C327" s="8" t="s">
        <v>656</v>
      </c>
      <c r="D327" s="8" t="s">
        <v>657</v>
      </c>
      <c r="E327" s="55">
        <v>3</v>
      </c>
      <c r="F327" s="8"/>
    </row>
    <row r="328" spans="1:6" x14ac:dyDescent="0.35">
      <c r="A328" s="54">
        <v>327</v>
      </c>
      <c r="B328" s="57">
        <v>45838.327835648146</v>
      </c>
      <c r="C328" s="55" t="s">
        <v>658</v>
      </c>
      <c r="D328" s="55" t="s">
        <v>657</v>
      </c>
      <c r="E328" s="55">
        <v>3</v>
      </c>
      <c r="F328" s="55"/>
    </row>
    <row r="329" spans="1:6" x14ac:dyDescent="0.35">
      <c r="A329" s="6">
        <v>328</v>
      </c>
      <c r="B329" s="48">
        <v>45838.327835648146</v>
      </c>
      <c r="C329" s="8" t="s">
        <v>659</v>
      </c>
      <c r="D329" s="8" t="s">
        <v>660</v>
      </c>
      <c r="E329" s="55">
        <v>3</v>
      </c>
      <c r="F329" s="8"/>
    </row>
    <row r="330" spans="1:6" x14ac:dyDescent="0.35">
      <c r="A330" s="54">
        <v>329</v>
      </c>
      <c r="B330" s="57">
        <v>45838.327835648146</v>
      </c>
      <c r="C330" s="55" t="s">
        <v>661</v>
      </c>
      <c r="D330" s="55" t="s">
        <v>662</v>
      </c>
      <c r="E330" s="55"/>
      <c r="F330" s="55"/>
    </row>
    <row r="331" spans="1:6" x14ac:dyDescent="0.35">
      <c r="A331" s="6">
        <v>330</v>
      </c>
      <c r="B331" s="48">
        <v>45838.327835648146</v>
      </c>
      <c r="C331" s="8" t="s">
        <v>663</v>
      </c>
      <c r="D331" s="8" t="s">
        <v>664</v>
      </c>
      <c r="E331" s="55"/>
      <c r="F331" s="8"/>
    </row>
    <row r="332" spans="1:6" x14ac:dyDescent="0.35">
      <c r="A332" s="54">
        <v>331</v>
      </c>
      <c r="B332" s="57">
        <v>45838.327835648146</v>
      </c>
      <c r="C332" s="55" t="s">
        <v>665</v>
      </c>
      <c r="D332" s="55" t="s">
        <v>666</v>
      </c>
      <c r="E332" s="56">
        <v>45975</v>
      </c>
      <c r="F332" s="55"/>
    </row>
    <row r="333" spans="1:6" x14ac:dyDescent="0.35">
      <c r="A333" s="6">
        <v>332</v>
      </c>
      <c r="B333" s="48">
        <v>45838.327835648146</v>
      </c>
      <c r="C333" s="8" t="s">
        <v>667</v>
      </c>
      <c r="D333" s="8" t="s">
        <v>668</v>
      </c>
      <c r="E333" s="56"/>
      <c r="F333" s="8"/>
    </row>
    <row r="334" spans="1:6" x14ac:dyDescent="0.35">
      <c r="A334" s="54">
        <v>333</v>
      </c>
      <c r="B334" s="57">
        <v>45838.327835648146</v>
      </c>
      <c r="C334" s="55" t="s">
        <v>669</v>
      </c>
      <c r="D334" s="55" t="s">
        <v>670</v>
      </c>
      <c r="E334" s="55">
        <v>1</v>
      </c>
      <c r="F334" s="55"/>
    </row>
    <row r="335" spans="1:6" x14ac:dyDescent="0.35">
      <c r="A335" s="6">
        <v>334</v>
      </c>
      <c r="B335" s="48">
        <v>45838.327835648146</v>
      </c>
      <c r="C335" s="8" t="s">
        <v>671</v>
      </c>
      <c r="D335" s="8" t="s">
        <v>672</v>
      </c>
      <c r="E335" s="55"/>
      <c r="F335" s="8"/>
    </row>
    <row r="336" spans="1:6" x14ac:dyDescent="0.35">
      <c r="A336" s="54">
        <v>335</v>
      </c>
      <c r="B336" s="57">
        <v>45838.327835648146</v>
      </c>
      <c r="C336" s="55" t="s">
        <v>673</v>
      </c>
      <c r="D336" s="55" t="s">
        <v>674</v>
      </c>
      <c r="E336" s="55">
        <v>2</v>
      </c>
      <c r="F336" s="55"/>
    </row>
    <row r="337" spans="1:6" x14ac:dyDescent="0.35">
      <c r="A337" s="6">
        <v>336</v>
      </c>
      <c r="B337" s="48">
        <v>45838.327835648146</v>
      </c>
      <c r="C337" s="8" t="s">
        <v>675</v>
      </c>
      <c r="D337" s="8" t="s">
        <v>676</v>
      </c>
      <c r="E337" s="55"/>
      <c r="F337" s="8"/>
    </row>
    <row r="338" spans="1:6" x14ac:dyDescent="0.35">
      <c r="A338" s="54">
        <v>337</v>
      </c>
      <c r="B338" s="57">
        <v>45838.327835648146</v>
      </c>
      <c r="C338" s="55" t="s">
        <v>677</v>
      </c>
      <c r="D338" s="55" t="s">
        <v>678</v>
      </c>
      <c r="E338" s="55">
        <v>1</v>
      </c>
      <c r="F338" s="55"/>
    </row>
    <row r="339" spans="1:6" x14ac:dyDescent="0.35">
      <c r="A339" s="6">
        <v>338</v>
      </c>
      <c r="B339" s="48">
        <v>45838.327835648146</v>
      </c>
      <c r="C339" s="8" t="s">
        <v>679</v>
      </c>
      <c r="D339" s="8" t="s">
        <v>680</v>
      </c>
      <c r="E339" s="56">
        <v>45672</v>
      </c>
      <c r="F339" s="8"/>
    </row>
    <row r="340" spans="1:6" x14ac:dyDescent="0.35">
      <c r="A340" s="54">
        <v>339</v>
      </c>
      <c r="B340" s="57">
        <v>45838.327835648146</v>
      </c>
      <c r="C340" s="55" t="s">
        <v>681</v>
      </c>
      <c r="D340" s="55" t="s">
        <v>682</v>
      </c>
      <c r="E340" s="56"/>
      <c r="F340" s="55"/>
    </row>
    <row r="341" spans="1:6" x14ac:dyDescent="0.35">
      <c r="A341" s="6">
        <v>340</v>
      </c>
      <c r="B341" s="48">
        <v>45838.327835648146</v>
      </c>
      <c r="C341" s="8" t="s">
        <v>683</v>
      </c>
      <c r="D341" s="8" t="s">
        <v>684</v>
      </c>
      <c r="E341" s="55"/>
      <c r="F341" s="8"/>
    </row>
    <row r="342" spans="1:6" x14ac:dyDescent="0.35">
      <c r="A342" s="54">
        <v>341</v>
      </c>
      <c r="B342" s="57">
        <v>45838.327835648146</v>
      </c>
      <c r="C342" s="55" t="s">
        <v>685</v>
      </c>
      <c r="D342" s="55" t="s">
        <v>686</v>
      </c>
      <c r="E342" s="55"/>
      <c r="F342" s="55"/>
    </row>
    <row r="343" spans="1:6" x14ac:dyDescent="0.35">
      <c r="A343" s="6">
        <v>342</v>
      </c>
      <c r="B343" s="48">
        <v>45838.327835648146</v>
      </c>
      <c r="C343" s="8" t="s">
        <v>687</v>
      </c>
      <c r="D343" s="8" t="s">
        <v>688</v>
      </c>
      <c r="E343" s="55"/>
      <c r="F343" s="8"/>
    </row>
    <row r="344" spans="1:6" x14ac:dyDescent="0.35">
      <c r="A344" s="54">
        <v>343</v>
      </c>
      <c r="B344" s="57">
        <v>45838.327835648146</v>
      </c>
      <c r="C344" s="55" t="s">
        <v>689</v>
      </c>
      <c r="D344" s="55" t="s">
        <v>690</v>
      </c>
      <c r="E344" s="55">
        <v>4</v>
      </c>
      <c r="F344" s="55"/>
    </row>
    <row r="345" spans="1:6" x14ac:dyDescent="0.35">
      <c r="A345" s="6">
        <v>344</v>
      </c>
      <c r="B345" s="48">
        <v>45838.327835648146</v>
      </c>
      <c r="C345" s="8" t="s">
        <v>691</v>
      </c>
      <c r="D345" s="8" t="s">
        <v>692</v>
      </c>
      <c r="E345" s="55">
        <v>4</v>
      </c>
      <c r="F345" s="8"/>
    </row>
    <row r="346" spans="1:6" x14ac:dyDescent="0.35">
      <c r="A346" s="54">
        <v>345</v>
      </c>
      <c r="B346" s="57">
        <v>45838.327835648146</v>
      </c>
      <c r="C346" s="55" t="s">
        <v>693</v>
      </c>
      <c r="D346" s="55" t="s">
        <v>694</v>
      </c>
      <c r="E346" s="55"/>
      <c r="F346" s="55"/>
    </row>
    <row r="347" spans="1:6" x14ac:dyDescent="0.35">
      <c r="A347" s="6">
        <v>346</v>
      </c>
      <c r="B347" s="48">
        <v>45838.327835648146</v>
      </c>
      <c r="C347" s="8" t="s">
        <v>695</v>
      </c>
      <c r="D347" s="8" t="s">
        <v>696</v>
      </c>
      <c r="E347" s="55"/>
      <c r="F347" s="8"/>
    </row>
    <row r="348" spans="1:6" x14ac:dyDescent="0.35">
      <c r="A348" s="54">
        <v>347</v>
      </c>
      <c r="B348" s="57">
        <v>45838.327835648146</v>
      </c>
      <c r="C348" s="55" t="s">
        <v>697</v>
      </c>
      <c r="D348" s="55" t="s">
        <v>698</v>
      </c>
      <c r="E348" s="55"/>
      <c r="F348" s="55"/>
    </row>
    <row r="349" spans="1:6" x14ac:dyDescent="0.35">
      <c r="A349" s="6">
        <v>348</v>
      </c>
      <c r="B349" s="48">
        <v>45838.327835648146</v>
      </c>
      <c r="C349" s="8" t="s">
        <v>699</v>
      </c>
      <c r="D349" s="8" t="s">
        <v>700</v>
      </c>
      <c r="E349" s="56">
        <v>45975</v>
      </c>
      <c r="F349" s="8"/>
    </row>
    <row r="350" spans="1:6" x14ac:dyDescent="0.35">
      <c r="A350" s="54">
        <v>349</v>
      </c>
      <c r="B350" s="57">
        <v>45838.327835648146</v>
      </c>
      <c r="C350" s="55" t="s">
        <v>701</v>
      </c>
      <c r="D350" s="55" t="s">
        <v>702</v>
      </c>
      <c r="E350" s="56"/>
      <c r="F350" s="55"/>
    </row>
    <row r="351" spans="1:6" x14ac:dyDescent="0.35">
      <c r="A351" s="6">
        <v>350</v>
      </c>
      <c r="B351" s="48">
        <v>45838.327835648146</v>
      </c>
      <c r="C351" s="8" t="s">
        <v>703</v>
      </c>
      <c r="D351" s="8" t="s">
        <v>704</v>
      </c>
      <c r="E351" s="55"/>
      <c r="F351" s="8"/>
    </row>
    <row r="352" spans="1:6" x14ac:dyDescent="0.35">
      <c r="A352" s="54">
        <v>351</v>
      </c>
      <c r="B352" s="57">
        <v>45838.327835648146</v>
      </c>
      <c r="C352" s="55" t="s">
        <v>705</v>
      </c>
      <c r="D352" s="55" t="s">
        <v>706</v>
      </c>
      <c r="E352" s="56">
        <v>45982</v>
      </c>
      <c r="F352" s="55"/>
    </row>
    <row r="353" spans="1:6" x14ac:dyDescent="0.35">
      <c r="A353" s="6">
        <v>352</v>
      </c>
      <c r="B353" s="48">
        <v>45838.327835648146</v>
      </c>
      <c r="C353" s="8" t="s">
        <v>707</v>
      </c>
      <c r="D353" s="8" t="s">
        <v>708</v>
      </c>
      <c r="E353" s="56"/>
      <c r="F353" s="8"/>
    </row>
    <row r="354" spans="1:6" x14ac:dyDescent="0.35">
      <c r="A354" s="54">
        <v>353</v>
      </c>
      <c r="B354" s="57">
        <v>45838.327835648146</v>
      </c>
      <c r="C354" s="55" t="s">
        <v>709</v>
      </c>
      <c r="D354" s="55" t="s">
        <v>710</v>
      </c>
      <c r="E354" s="55"/>
      <c r="F354" s="55"/>
    </row>
    <row r="355" spans="1:6" x14ac:dyDescent="0.35">
      <c r="A355" s="6">
        <v>354</v>
      </c>
      <c r="B355" s="48">
        <v>45838.327835648146</v>
      </c>
      <c r="C355" s="8" t="s">
        <v>711</v>
      </c>
      <c r="D355" s="8" t="s">
        <v>712</v>
      </c>
      <c r="E355" s="55">
        <v>2022</v>
      </c>
      <c r="F355" s="8"/>
    </row>
    <row r="356" spans="1:6" x14ac:dyDescent="0.35">
      <c r="A356" s="54">
        <v>355</v>
      </c>
      <c r="B356" s="57">
        <v>45838.327835648146</v>
      </c>
      <c r="C356" s="55" t="s">
        <v>713</v>
      </c>
      <c r="D356" s="55"/>
      <c r="E356" s="55"/>
      <c r="F356" s="55"/>
    </row>
    <row r="357" spans="1:6" x14ac:dyDescent="0.35">
      <c r="A357" s="6">
        <v>356</v>
      </c>
      <c r="B357" s="48">
        <v>45838.327835648146</v>
      </c>
      <c r="C357" s="8" t="s">
        <v>714</v>
      </c>
      <c r="D357" s="8" t="s">
        <v>715</v>
      </c>
      <c r="E357" s="55"/>
      <c r="F357" s="8"/>
    </row>
    <row r="358" spans="1:6" x14ac:dyDescent="0.35">
      <c r="A358" s="54">
        <v>357</v>
      </c>
      <c r="B358" s="57">
        <v>45838.327835648146</v>
      </c>
      <c r="C358" s="55" t="s">
        <v>716</v>
      </c>
      <c r="D358" s="55" t="s">
        <v>717</v>
      </c>
      <c r="E358" s="55"/>
      <c r="F358" s="55"/>
    </row>
    <row r="359" spans="1:6" x14ac:dyDescent="0.35">
      <c r="A359" s="6">
        <v>358</v>
      </c>
      <c r="B359" s="48">
        <v>45838.327835648146</v>
      </c>
      <c r="C359" s="8" t="s">
        <v>718</v>
      </c>
      <c r="D359" s="8" t="s">
        <v>719</v>
      </c>
      <c r="E359" s="55"/>
      <c r="F359" s="8"/>
    </row>
    <row r="360" spans="1:6" x14ac:dyDescent="0.35">
      <c r="A360" s="54">
        <v>359</v>
      </c>
      <c r="B360" s="57">
        <v>45838.327835648146</v>
      </c>
      <c r="C360" s="55" t="s">
        <v>720</v>
      </c>
      <c r="D360" s="55" t="s">
        <v>721</v>
      </c>
      <c r="E360" s="55"/>
      <c r="F360" s="55"/>
    </row>
    <row r="361" spans="1:6" x14ac:dyDescent="0.35">
      <c r="A361" s="6">
        <v>360</v>
      </c>
      <c r="B361" s="48">
        <v>45838.327835648146</v>
      </c>
      <c r="C361" s="8" t="s">
        <v>722</v>
      </c>
      <c r="D361" s="8" t="s">
        <v>723</v>
      </c>
      <c r="E361" s="55"/>
      <c r="F361" s="8"/>
    </row>
    <row r="362" spans="1:6" x14ac:dyDescent="0.35">
      <c r="A362" s="54">
        <v>361</v>
      </c>
      <c r="B362" s="57">
        <v>45838.327835648146</v>
      </c>
      <c r="C362" s="55" t="s">
        <v>724</v>
      </c>
      <c r="D362" s="55" t="s">
        <v>725</v>
      </c>
      <c r="E362" s="55"/>
      <c r="F362" s="55"/>
    </row>
    <row r="363" spans="1:6" x14ac:dyDescent="0.35">
      <c r="A363" s="6">
        <v>362</v>
      </c>
      <c r="B363" s="48">
        <v>45838.327835648146</v>
      </c>
      <c r="C363" s="8" t="s">
        <v>726</v>
      </c>
      <c r="D363" s="8" t="s">
        <v>727</v>
      </c>
      <c r="E363" s="55"/>
      <c r="F363" s="8"/>
    </row>
    <row r="364" spans="1:6" x14ac:dyDescent="0.35">
      <c r="A364" s="54">
        <v>363</v>
      </c>
      <c r="B364" s="57">
        <v>45838.327835648146</v>
      </c>
      <c r="C364" s="55" t="s">
        <v>728</v>
      </c>
      <c r="D364" s="55" t="s">
        <v>729</v>
      </c>
      <c r="E364" s="55"/>
      <c r="F364" s="55"/>
    </row>
    <row r="365" spans="1:6" x14ac:dyDescent="0.35">
      <c r="A365" s="6">
        <v>364</v>
      </c>
      <c r="B365" s="48">
        <v>45838.327835648146</v>
      </c>
      <c r="C365" s="8" t="s">
        <v>730</v>
      </c>
      <c r="D365" s="8" t="s">
        <v>731</v>
      </c>
      <c r="E365" s="55"/>
      <c r="F365" s="8"/>
    </row>
    <row r="366" spans="1:6" x14ac:dyDescent="0.35">
      <c r="A366" s="54">
        <v>365</v>
      </c>
      <c r="B366" s="57">
        <v>45838.327835648146</v>
      </c>
      <c r="C366" s="55" t="s">
        <v>732</v>
      </c>
      <c r="D366" s="55" t="s">
        <v>733</v>
      </c>
      <c r="E366" s="55"/>
      <c r="F366" s="55"/>
    </row>
    <row r="367" spans="1:6" x14ac:dyDescent="0.35">
      <c r="A367" s="6">
        <v>366</v>
      </c>
      <c r="B367" s="48">
        <v>45838.327835648146</v>
      </c>
      <c r="C367" s="8" t="s">
        <v>734</v>
      </c>
      <c r="D367" s="8" t="s">
        <v>735</v>
      </c>
      <c r="E367" s="55"/>
      <c r="F367" s="8"/>
    </row>
    <row r="368" spans="1:6" x14ac:dyDescent="0.35">
      <c r="A368" s="54">
        <v>367</v>
      </c>
      <c r="B368" s="57">
        <v>45838.327835648146</v>
      </c>
      <c r="C368" s="55" t="s">
        <v>736</v>
      </c>
      <c r="D368" s="55" t="s">
        <v>737</v>
      </c>
      <c r="E368" s="55"/>
      <c r="F368" s="55"/>
    </row>
    <row r="369" spans="1:6" x14ac:dyDescent="0.35">
      <c r="A369" s="6">
        <v>368</v>
      </c>
      <c r="B369" s="48">
        <v>45838.327835648146</v>
      </c>
      <c r="C369" s="8" t="s">
        <v>738</v>
      </c>
      <c r="D369" s="8" t="s">
        <v>739</v>
      </c>
      <c r="E369" s="55"/>
      <c r="F369" s="8"/>
    </row>
    <row r="370" spans="1:6" x14ac:dyDescent="0.35">
      <c r="A370" s="54">
        <v>369</v>
      </c>
      <c r="B370" s="57">
        <v>45838.327835648146</v>
      </c>
      <c r="C370" s="55" t="s">
        <v>740</v>
      </c>
      <c r="D370" s="55" t="s">
        <v>741</v>
      </c>
      <c r="E370" s="55"/>
      <c r="F370" s="55"/>
    </row>
    <row r="371" spans="1:6" x14ac:dyDescent="0.35">
      <c r="A371" s="6">
        <v>370</v>
      </c>
      <c r="B371" s="48">
        <v>45838.327835648146</v>
      </c>
      <c r="C371" s="8" t="s">
        <v>742</v>
      </c>
      <c r="D371" s="8" t="s">
        <v>743</v>
      </c>
      <c r="E371" s="55"/>
      <c r="F371" s="8"/>
    </row>
    <row r="372" spans="1:6" x14ac:dyDescent="0.35">
      <c r="A372" s="54">
        <v>371</v>
      </c>
      <c r="B372" s="57">
        <v>45838.327835648146</v>
      </c>
      <c r="C372" s="55" t="s">
        <v>744</v>
      </c>
      <c r="D372" s="55" t="s">
        <v>745</v>
      </c>
      <c r="E372" s="55"/>
      <c r="F372" s="55"/>
    </row>
    <row r="373" spans="1:6" x14ac:dyDescent="0.35">
      <c r="A373" s="6">
        <v>372</v>
      </c>
      <c r="B373" s="48">
        <v>45838.327835648146</v>
      </c>
      <c r="C373" s="8" t="s">
        <v>746</v>
      </c>
      <c r="D373" s="8" t="s">
        <v>747</v>
      </c>
      <c r="E373" s="55"/>
      <c r="F373" s="8"/>
    </row>
    <row r="374" spans="1:6" x14ac:dyDescent="0.35">
      <c r="A374" s="54">
        <v>373</v>
      </c>
      <c r="B374" s="57">
        <v>45838.327835648146</v>
      </c>
      <c r="C374" s="55" t="s">
        <v>748</v>
      </c>
      <c r="D374" s="55" t="s">
        <v>749</v>
      </c>
      <c r="E374" s="55"/>
      <c r="F374" s="55"/>
    </row>
    <row r="375" spans="1:6" x14ac:dyDescent="0.35">
      <c r="A375" s="6">
        <v>374</v>
      </c>
      <c r="B375" s="48">
        <v>45838.327835648146</v>
      </c>
      <c r="C375" s="8" t="s">
        <v>750</v>
      </c>
      <c r="D375" s="8" t="s">
        <v>751</v>
      </c>
      <c r="E375" s="55"/>
      <c r="F375" s="8"/>
    </row>
    <row r="376" spans="1:6" x14ac:dyDescent="0.35">
      <c r="A376" s="54">
        <v>375</v>
      </c>
      <c r="B376" s="57">
        <v>45838.327835648146</v>
      </c>
      <c r="C376" s="55" t="s">
        <v>752</v>
      </c>
      <c r="D376" s="55" t="s">
        <v>753</v>
      </c>
      <c r="E376" s="55"/>
      <c r="F376" s="55"/>
    </row>
    <row r="377" spans="1:6" x14ac:dyDescent="0.35">
      <c r="A377" s="6">
        <v>376</v>
      </c>
      <c r="B377" s="48">
        <v>45838.327835648146</v>
      </c>
      <c r="C377" s="8" t="s">
        <v>754</v>
      </c>
      <c r="D377" s="8" t="s">
        <v>755</v>
      </c>
      <c r="E377" s="55"/>
      <c r="F377" s="8"/>
    </row>
    <row r="378" spans="1:6" x14ac:dyDescent="0.35">
      <c r="A378" s="54">
        <v>377</v>
      </c>
      <c r="B378" s="57">
        <v>45838.327835648146</v>
      </c>
      <c r="C378" s="55" t="s">
        <v>756</v>
      </c>
      <c r="D378" s="55" t="s">
        <v>757</v>
      </c>
      <c r="E378" s="55"/>
      <c r="F378" s="55"/>
    </row>
    <row r="379" spans="1:6" x14ac:dyDescent="0.35">
      <c r="A379" s="6">
        <v>378</v>
      </c>
      <c r="B379" s="48">
        <v>45838.327835648146</v>
      </c>
      <c r="C379" s="8" t="s">
        <v>758</v>
      </c>
      <c r="D379" s="8" t="s">
        <v>759</v>
      </c>
      <c r="E379" s="55"/>
      <c r="F379" s="8"/>
    </row>
    <row r="380" spans="1:6" x14ac:dyDescent="0.35">
      <c r="A380" s="54">
        <v>379</v>
      </c>
      <c r="B380" s="57">
        <v>45838.327835648146</v>
      </c>
      <c r="C380" s="55" t="s">
        <v>760</v>
      </c>
      <c r="D380" s="55" t="s">
        <v>761</v>
      </c>
      <c r="E380" s="55"/>
      <c r="F380" s="55"/>
    </row>
    <row r="381" spans="1:6" x14ac:dyDescent="0.35">
      <c r="A381" s="6">
        <v>380</v>
      </c>
      <c r="B381" s="48">
        <v>45838.327835648146</v>
      </c>
      <c r="C381" s="8" t="s">
        <v>762</v>
      </c>
      <c r="D381" s="8"/>
      <c r="E381" s="55"/>
      <c r="F381" s="8"/>
    </row>
    <row r="382" spans="1:6" x14ac:dyDescent="0.35">
      <c r="A382" s="54">
        <v>381</v>
      </c>
      <c r="B382" s="57">
        <v>45838.327835648146</v>
      </c>
      <c r="C382" s="55" t="s">
        <v>763</v>
      </c>
      <c r="D382" s="55"/>
      <c r="E382" s="55"/>
      <c r="F382" s="55"/>
    </row>
    <row r="383" spans="1:6" x14ac:dyDescent="0.35">
      <c r="A383" s="6">
        <v>382</v>
      </c>
      <c r="B383" s="48">
        <v>45838.327835648146</v>
      </c>
      <c r="C383" s="8" t="s">
        <v>764</v>
      </c>
      <c r="D383" s="8"/>
      <c r="E383" s="55"/>
      <c r="F383" s="8"/>
    </row>
    <row r="384" spans="1:6" x14ac:dyDescent="0.35">
      <c r="A384" s="54">
        <v>383</v>
      </c>
      <c r="B384" s="57">
        <v>45838.327835648146</v>
      </c>
      <c r="C384" s="55" t="s">
        <v>765</v>
      </c>
      <c r="D384" s="55" t="s">
        <v>766</v>
      </c>
      <c r="E384" s="55"/>
      <c r="F384" s="55"/>
    </row>
    <row r="385" spans="1:6" x14ac:dyDescent="0.35">
      <c r="A385" s="6">
        <v>384</v>
      </c>
      <c r="B385" s="48">
        <v>45838.327835648146</v>
      </c>
      <c r="C385" s="8" t="s">
        <v>767</v>
      </c>
      <c r="D385" s="8" t="s">
        <v>768</v>
      </c>
      <c r="E385" s="55"/>
      <c r="F385" s="8"/>
    </row>
    <row r="386" spans="1:6" x14ac:dyDescent="0.35">
      <c r="A386" s="54">
        <v>385</v>
      </c>
      <c r="B386" s="57">
        <v>45838.327835648146</v>
      </c>
      <c r="C386" s="55" t="s">
        <v>769</v>
      </c>
      <c r="D386" s="55" t="s">
        <v>770</v>
      </c>
      <c r="E386" s="55"/>
      <c r="F386" s="55"/>
    </row>
    <row r="387" spans="1:6" x14ac:dyDescent="0.35">
      <c r="A387" s="6">
        <v>386</v>
      </c>
      <c r="B387" s="48">
        <v>45838.327835648146</v>
      </c>
      <c r="C387" s="8" t="s">
        <v>771</v>
      </c>
      <c r="D387" s="8" t="s">
        <v>772</v>
      </c>
      <c r="E387" s="55"/>
      <c r="F387" s="8"/>
    </row>
    <row r="388" spans="1:6" x14ac:dyDescent="0.35">
      <c r="A388" s="54">
        <v>387</v>
      </c>
      <c r="B388" s="57">
        <v>45838.327835648146</v>
      </c>
      <c r="C388" s="55" t="s">
        <v>773</v>
      </c>
      <c r="D388" s="55" t="s">
        <v>774</v>
      </c>
      <c r="E388" s="55"/>
      <c r="F388" s="55"/>
    </row>
    <row r="389" spans="1:6" x14ac:dyDescent="0.35">
      <c r="A389" s="6">
        <v>388</v>
      </c>
      <c r="B389" s="48">
        <v>45838.327835648146</v>
      </c>
      <c r="C389" s="8" t="s">
        <v>775</v>
      </c>
      <c r="D389" s="8" t="s">
        <v>776</v>
      </c>
      <c r="E389" s="55"/>
      <c r="F389" s="8"/>
    </row>
    <row r="390" spans="1:6" x14ac:dyDescent="0.35">
      <c r="A390" s="54">
        <v>389</v>
      </c>
      <c r="B390" s="57">
        <v>45838.327835648146</v>
      </c>
      <c r="C390" s="55" t="s">
        <v>777</v>
      </c>
      <c r="D390" s="55" t="s">
        <v>778</v>
      </c>
      <c r="E390" s="55"/>
      <c r="F390" s="55"/>
    </row>
    <row r="391" spans="1:6" x14ac:dyDescent="0.35">
      <c r="A391" s="6">
        <v>390</v>
      </c>
      <c r="B391" s="48">
        <v>45838.327835648146</v>
      </c>
      <c r="C391" s="8" t="s">
        <v>779</v>
      </c>
      <c r="D391" s="8" t="s">
        <v>780</v>
      </c>
      <c r="E391" s="55"/>
      <c r="F391" s="8"/>
    </row>
    <row r="392" spans="1:6" x14ac:dyDescent="0.35">
      <c r="A392" s="54">
        <v>391</v>
      </c>
      <c r="B392" s="57">
        <v>45838.327835648146</v>
      </c>
      <c r="C392" s="55" t="s">
        <v>781</v>
      </c>
      <c r="D392" s="55" t="s">
        <v>782</v>
      </c>
      <c r="E392" s="55"/>
      <c r="F392" s="55"/>
    </row>
    <row r="393" spans="1:6" x14ac:dyDescent="0.35">
      <c r="A393" s="6">
        <v>392</v>
      </c>
      <c r="B393" s="48">
        <v>45838.327835648146</v>
      </c>
      <c r="C393" s="8" t="s">
        <v>783</v>
      </c>
      <c r="D393" s="8" t="s">
        <v>784</v>
      </c>
      <c r="E393" s="55"/>
      <c r="F393" s="8"/>
    </row>
    <row r="394" spans="1:6" x14ac:dyDescent="0.35">
      <c r="A394" s="54">
        <v>393</v>
      </c>
      <c r="B394" s="57">
        <v>45838.327835648146</v>
      </c>
      <c r="C394" s="55" t="s">
        <v>785</v>
      </c>
      <c r="D394" s="55" t="s">
        <v>782</v>
      </c>
      <c r="E394" s="55"/>
      <c r="F394" s="55"/>
    </row>
    <row r="395" spans="1:6" x14ac:dyDescent="0.35">
      <c r="A395" s="6">
        <v>394</v>
      </c>
      <c r="B395" s="48">
        <v>45838.327835648146</v>
      </c>
      <c r="C395" s="8" t="s">
        <v>786</v>
      </c>
      <c r="D395" s="8" t="s">
        <v>787</v>
      </c>
      <c r="E395" s="55"/>
      <c r="F395" s="8"/>
    </row>
    <row r="396" spans="1:6" x14ac:dyDescent="0.35">
      <c r="A396" s="54">
        <v>395</v>
      </c>
      <c r="B396" s="57">
        <v>45838.327835648146</v>
      </c>
      <c r="C396" s="55" t="s">
        <v>788</v>
      </c>
      <c r="D396" s="55" t="s">
        <v>789</v>
      </c>
      <c r="E396" s="55"/>
      <c r="F396" s="55"/>
    </row>
    <row r="397" spans="1:6" x14ac:dyDescent="0.35">
      <c r="A397" s="6">
        <v>396</v>
      </c>
      <c r="B397" s="48">
        <v>45838.327835648146</v>
      </c>
      <c r="C397" s="8" t="s">
        <v>790</v>
      </c>
      <c r="D397" s="8" t="s">
        <v>791</v>
      </c>
      <c r="E397" s="55"/>
      <c r="F397" s="8"/>
    </row>
    <row r="398" spans="1:6" x14ac:dyDescent="0.35">
      <c r="A398" s="54">
        <v>397</v>
      </c>
      <c r="B398" s="57">
        <v>45838.327835648146</v>
      </c>
      <c r="C398" s="55" t="s">
        <v>792</v>
      </c>
      <c r="D398" s="55" t="s">
        <v>793</v>
      </c>
      <c r="E398" s="55"/>
      <c r="F398" s="55"/>
    </row>
    <row r="399" spans="1:6" x14ac:dyDescent="0.35">
      <c r="A399" s="6">
        <v>398</v>
      </c>
      <c r="B399" s="48">
        <v>45838.327835648146</v>
      </c>
      <c r="C399" s="8" t="s">
        <v>794</v>
      </c>
      <c r="D399" s="8" t="s">
        <v>795</v>
      </c>
      <c r="E399" s="55"/>
      <c r="F399" s="8"/>
    </row>
    <row r="400" spans="1:6" x14ac:dyDescent="0.35">
      <c r="A400" s="54">
        <v>399</v>
      </c>
      <c r="B400" s="57">
        <v>45838.327835648146</v>
      </c>
      <c r="C400" s="55" t="s">
        <v>796</v>
      </c>
      <c r="D400" s="55" t="s">
        <v>797</v>
      </c>
      <c r="E400" s="55"/>
      <c r="F400" s="55"/>
    </row>
    <row r="401" spans="1:6" x14ac:dyDescent="0.35">
      <c r="A401" s="6">
        <v>400</v>
      </c>
      <c r="B401" s="48">
        <v>45838.327835648146</v>
      </c>
      <c r="C401" s="8" t="s">
        <v>798</v>
      </c>
      <c r="D401" s="8" t="s">
        <v>799</v>
      </c>
      <c r="E401" s="55"/>
      <c r="F401" s="8"/>
    </row>
    <row r="402" spans="1:6" x14ac:dyDescent="0.35">
      <c r="A402" s="54">
        <v>401</v>
      </c>
      <c r="B402" s="57">
        <v>45838.327835648146</v>
      </c>
      <c r="C402" s="55" t="s">
        <v>800</v>
      </c>
      <c r="D402" s="55" t="s">
        <v>801</v>
      </c>
      <c r="E402" s="55"/>
      <c r="F402" s="55"/>
    </row>
    <row r="403" spans="1:6" x14ac:dyDescent="0.35">
      <c r="A403" s="6">
        <v>402</v>
      </c>
      <c r="B403" s="48">
        <v>45838.327835648146</v>
      </c>
      <c r="C403" s="8" t="s">
        <v>802</v>
      </c>
      <c r="D403" s="8" t="s">
        <v>803</v>
      </c>
      <c r="E403" s="55"/>
      <c r="F403" s="8"/>
    </row>
    <row r="404" spans="1:6" x14ac:dyDescent="0.35">
      <c r="A404" s="54">
        <v>403</v>
      </c>
      <c r="B404" s="57">
        <v>45838.327835648146</v>
      </c>
      <c r="C404" s="55" t="s">
        <v>804</v>
      </c>
      <c r="D404" s="55" t="s">
        <v>805</v>
      </c>
      <c r="E404" s="55"/>
      <c r="F404" s="55"/>
    </row>
    <row r="405" spans="1:6" x14ac:dyDescent="0.35">
      <c r="A405" s="6">
        <v>404</v>
      </c>
      <c r="B405" s="48">
        <v>45838.327835648146</v>
      </c>
      <c r="C405" s="8" t="s">
        <v>806</v>
      </c>
      <c r="D405" s="8" t="s">
        <v>807</v>
      </c>
      <c r="E405" s="55"/>
      <c r="F405" s="8"/>
    </row>
    <row r="406" spans="1:6" x14ac:dyDescent="0.35">
      <c r="A406" s="54">
        <v>405</v>
      </c>
      <c r="B406" s="57">
        <v>45838.327835648146</v>
      </c>
      <c r="C406" s="55" t="s">
        <v>808</v>
      </c>
      <c r="D406" s="55" t="s">
        <v>809</v>
      </c>
      <c r="E406" s="55"/>
      <c r="F406" s="55"/>
    </row>
    <row r="407" spans="1:6" x14ac:dyDescent="0.35">
      <c r="A407" s="6">
        <v>406</v>
      </c>
      <c r="B407" s="48">
        <v>45838.327835648146</v>
      </c>
      <c r="C407" s="8" t="s">
        <v>810</v>
      </c>
      <c r="D407" s="8" t="s">
        <v>811</v>
      </c>
      <c r="E407" s="55"/>
      <c r="F407" s="8"/>
    </row>
    <row r="408" spans="1:6" x14ac:dyDescent="0.35">
      <c r="A408" s="54">
        <v>407</v>
      </c>
      <c r="B408" s="57">
        <v>45838.327835648146</v>
      </c>
      <c r="C408" s="55" t="s">
        <v>812</v>
      </c>
      <c r="D408" s="55" t="s">
        <v>813</v>
      </c>
      <c r="E408" s="55"/>
      <c r="F408" s="55"/>
    </row>
    <row r="409" spans="1:6" x14ac:dyDescent="0.35">
      <c r="A409" s="6">
        <v>408</v>
      </c>
      <c r="B409" s="48">
        <v>45838.327835648146</v>
      </c>
      <c r="C409" s="8" t="s">
        <v>814</v>
      </c>
      <c r="D409" s="8" t="s">
        <v>815</v>
      </c>
      <c r="E409" s="55"/>
      <c r="F409" s="8"/>
    </row>
    <row r="410" spans="1:6" x14ac:dyDescent="0.35">
      <c r="A410" s="54">
        <v>409</v>
      </c>
      <c r="B410" s="57">
        <v>45838.327835648146</v>
      </c>
      <c r="C410" s="55" t="s">
        <v>816</v>
      </c>
      <c r="D410" s="55" t="s">
        <v>817</v>
      </c>
      <c r="E410" s="55"/>
      <c r="F410" s="55"/>
    </row>
    <row r="411" spans="1:6" x14ac:dyDescent="0.35">
      <c r="A411" s="6">
        <v>410</v>
      </c>
      <c r="B411" s="48">
        <v>45838.327835648146</v>
      </c>
      <c r="C411" s="8" t="s">
        <v>818</v>
      </c>
      <c r="D411" s="8" t="s">
        <v>819</v>
      </c>
      <c r="E411" s="55"/>
      <c r="F411" s="8"/>
    </row>
    <row r="412" spans="1:6" x14ac:dyDescent="0.35">
      <c r="A412" s="54">
        <v>411</v>
      </c>
      <c r="B412" s="57">
        <v>45838.327835648146</v>
      </c>
      <c r="C412" s="55" t="s">
        <v>820</v>
      </c>
      <c r="D412" s="55" t="s">
        <v>821</v>
      </c>
      <c r="E412" s="55" t="s">
        <v>31</v>
      </c>
      <c r="F412" s="55"/>
    </row>
    <row r="413" spans="1:6" x14ac:dyDescent="0.35">
      <c r="A413" s="6">
        <v>412</v>
      </c>
      <c r="B413" s="48">
        <v>45838.327835648146</v>
      </c>
      <c r="C413" s="8" t="s">
        <v>822</v>
      </c>
      <c r="D413" s="8" t="s">
        <v>823</v>
      </c>
      <c r="E413" s="55"/>
      <c r="F413" s="8"/>
    </row>
    <row r="414" spans="1:6" x14ac:dyDescent="0.35">
      <c r="A414" s="54">
        <v>413</v>
      </c>
      <c r="B414" s="57">
        <v>45838.327835648146</v>
      </c>
      <c r="C414" s="55" t="s">
        <v>824</v>
      </c>
      <c r="D414" s="55" t="s">
        <v>825</v>
      </c>
      <c r="E414" s="55"/>
      <c r="F414" s="55"/>
    </row>
    <row r="415" spans="1:6" x14ac:dyDescent="0.35">
      <c r="A415" s="6">
        <v>414</v>
      </c>
      <c r="B415" s="48">
        <v>45838.327835648146</v>
      </c>
      <c r="C415" s="8" t="s">
        <v>826</v>
      </c>
      <c r="D415" s="8" t="s">
        <v>825</v>
      </c>
      <c r="E415" s="55" t="s">
        <v>58</v>
      </c>
      <c r="F415" s="8"/>
    </row>
    <row r="416" spans="1:6" x14ac:dyDescent="0.35">
      <c r="A416" s="54">
        <v>415</v>
      </c>
      <c r="B416" s="57">
        <v>45838.327835648146</v>
      </c>
      <c r="C416" s="55" t="s">
        <v>827</v>
      </c>
      <c r="D416" s="55" t="s">
        <v>828</v>
      </c>
      <c r="E416" s="55"/>
      <c r="F416" s="55"/>
    </row>
    <row r="417" spans="1:6" x14ac:dyDescent="0.35">
      <c r="A417" s="6">
        <v>416</v>
      </c>
      <c r="B417" s="48">
        <v>45838.327835648146</v>
      </c>
      <c r="C417" s="8" t="s">
        <v>829</v>
      </c>
      <c r="D417" s="8" t="s">
        <v>823</v>
      </c>
      <c r="E417" s="55"/>
      <c r="F417" s="8"/>
    </row>
    <row r="418" spans="1:6" x14ac:dyDescent="0.35">
      <c r="A418" s="54">
        <v>417</v>
      </c>
      <c r="B418" s="57">
        <v>45838.327835648146</v>
      </c>
      <c r="C418" s="55" t="s">
        <v>830</v>
      </c>
      <c r="D418" s="55" t="s">
        <v>825</v>
      </c>
      <c r="E418" s="55"/>
      <c r="F418" s="55"/>
    </row>
    <row r="419" spans="1:6" x14ac:dyDescent="0.35">
      <c r="A419" s="6">
        <v>418</v>
      </c>
      <c r="B419" s="48">
        <v>45838.327835648146</v>
      </c>
      <c r="C419" s="8" t="s">
        <v>831</v>
      </c>
      <c r="D419" s="8" t="s">
        <v>832</v>
      </c>
      <c r="E419" s="55"/>
      <c r="F419" s="8"/>
    </row>
    <row r="420" spans="1:6" x14ac:dyDescent="0.35">
      <c r="A420" s="54">
        <v>419</v>
      </c>
      <c r="B420" s="57">
        <v>45838.327835648146</v>
      </c>
      <c r="C420" s="55" t="s">
        <v>833</v>
      </c>
      <c r="D420" s="55" t="s">
        <v>834</v>
      </c>
      <c r="E420" s="55"/>
      <c r="F420" s="55"/>
    </row>
    <row r="421" spans="1:6" x14ac:dyDescent="0.35">
      <c r="A421" s="6">
        <v>420</v>
      </c>
      <c r="B421" s="48">
        <v>45838.327835648146</v>
      </c>
      <c r="C421" s="8" t="s">
        <v>835</v>
      </c>
      <c r="D421" s="8" t="s">
        <v>836</v>
      </c>
      <c r="E421" s="55"/>
      <c r="F421" s="8"/>
    </row>
    <row r="422" spans="1:6" x14ac:dyDescent="0.35">
      <c r="A422" s="54">
        <v>421</v>
      </c>
      <c r="B422" s="57">
        <v>45838.327835648146</v>
      </c>
      <c r="C422" s="55" t="s">
        <v>837</v>
      </c>
      <c r="D422" s="55" t="s">
        <v>838</v>
      </c>
      <c r="E422" s="55"/>
      <c r="F422" s="55"/>
    </row>
    <row r="423" spans="1:6" x14ac:dyDescent="0.35">
      <c r="A423" s="6">
        <v>422</v>
      </c>
      <c r="B423" s="48">
        <v>45838.327835648146</v>
      </c>
      <c r="C423" s="8" t="s">
        <v>839</v>
      </c>
      <c r="D423" s="8" t="s">
        <v>840</v>
      </c>
      <c r="E423" s="55"/>
      <c r="F423" s="8"/>
    </row>
    <row r="424" spans="1:6" x14ac:dyDescent="0.35">
      <c r="A424" s="54">
        <v>423</v>
      </c>
      <c r="B424" s="57">
        <v>45838.327835648146</v>
      </c>
      <c r="C424" s="55" t="s">
        <v>841</v>
      </c>
      <c r="D424" s="55" t="s">
        <v>842</v>
      </c>
      <c r="E424" s="55"/>
      <c r="F424" s="55"/>
    </row>
    <row r="425" spans="1:6" x14ac:dyDescent="0.35">
      <c r="A425" s="6">
        <v>424</v>
      </c>
      <c r="B425" s="48">
        <v>45838.327835648146</v>
      </c>
      <c r="C425" s="8" t="s">
        <v>843</v>
      </c>
      <c r="D425" s="8" t="s">
        <v>844</v>
      </c>
      <c r="E425" s="55"/>
      <c r="F425" s="8"/>
    </row>
    <row r="426" spans="1:6" x14ac:dyDescent="0.35">
      <c r="A426" s="54">
        <v>425</v>
      </c>
      <c r="B426" s="57">
        <v>45838.327835648146</v>
      </c>
      <c r="C426" s="55" t="s">
        <v>845</v>
      </c>
      <c r="D426" s="55" t="s">
        <v>846</v>
      </c>
      <c r="E426" s="55"/>
      <c r="F426" s="55"/>
    </row>
    <row r="427" spans="1:6" x14ac:dyDescent="0.35">
      <c r="A427" s="6">
        <v>426</v>
      </c>
      <c r="B427" s="48">
        <v>45838.327835648146</v>
      </c>
      <c r="C427" s="8" t="s">
        <v>847</v>
      </c>
      <c r="D427" s="8" t="s">
        <v>848</v>
      </c>
      <c r="E427" s="55"/>
      <c r="F427" s="8"/>
    </row>
    <row r="428" spans="1:6" x14ac:dyDescent="0.35">
      <c r="A428" s="54">
        <v>427</v>
      </c>
      <c r="B428" s="57">
        <v>45838.327835648146</v>
      </c>
      <c r="C428" s="55" t="s">
        <v>849</v>
      </c>
      <c r="D428" s="55" t="s">
        <v>850</v>
      </c>
      <c r="E428" s="55"/>
      <c r="F428" s="55"/>
    </row>
    <row r="429" spans="1:6" x14ac:dyDescent="0.35">
      <c r="A429" s="6">
        <v>428</v>
      </c>
      <c r="B429" s="48">
        <v>45838.327835648146</v>
      </c>
      <c r="C429" s="8" t="s">
        <v>851</v>
      </c>
      <c r="D429" s="8" t="s">
        <v>852</v>
      </c>
      <c r="E429" s="55"/>
      <c r="F429" s="8"/>
    </row>
    <row r="430" spans="1:6" x14ac:dyDescent="0.35">
      <c r="A430" s="54">
        <v>429</v>
      </c>
      <c r="B430" s="57">
        <v>45838.327835648146</v>
      </c>
      <c r="C430" s="55" t="s">
        <v>853</v>
      </c>
      <c r="D430" s="55" t="s">
        <v>854</v>
      </c>
      <c r="E430" s="55"/>
      <c r="F430" s="55"/>
    </row>
    <row r="431" spans="1:6" x14ac:dyDescent="0.35">
      <c r="A431" s="6">
        <v>430</v>
      </c>
      <c r="B431" s="48">
        <v>45838.327835648146</v>
      </c>
      <c r="C431" s="8" t="s">
        <v>855</v>
      </c>
      <c r="D431" s="8" t="s">
        <v>856</v>
      </c>
      <c r="E431" s="55"/>
      <c r="F431" s="8"/>
    </row>
    <row r="432" spans="1:6" x14ac:dyDescent="0.35">
      <c r="A432" s="54">
        <v>431</v>
      </c>
      <c r="B432" s="57">
        <v>45838.327835648146</v>
      </c>
      <c r="C432" s="55" t="s">
        <v>857</v>
      </c>
      <c r="D432" s="55" t="s">
        <v>858</v>
      </c>
      <c r="E432" s="55"/>
      <c r="F432" s="55"/>
    </row>
    <row r="433" spans="1:6" x14ac:dyDescent="0.35">
      <c r="A433" s="6">
        <v>432</v>
      </c>
      <c r="B433" s="48">
        <v>45838.327835648146</v>
      </c>
      <c r="C433" s="8" t="s">
        <v>859</v>
      </c>
      <c r="D433" s="8" t="s">
        <v>860</v>
      </c>
      <c r="E433" s="55"/>
      <c r="F433" s="8"/>
    </row>
    <row r="434" spans="1:6" x14ac:dyDescent="0.35">
      <c r="A434" s="54">
        <v>433</v>
      </c>
      <c r="B434" s="57">
        <v>45838.327835648146</v>
      </c>
      <c r="C434" s="55" t="s">
        <v>861</v>
      </c>
      <c r="D434" s="55" t="s">
        <v>862</v>
      </c>
      <c r="E434" s="55"/>
      <c r="F434" s="55"/>
    </row>
    <row r="435" spans="1:6" x14ac:dyDescent="0.35">
      <c r="A435" s="6">
        <v>434</v>
      </c>
      <c r="B435" s="48">
        <v>45838.327835648146</v>
      </c>
      <c r="C435" s="8" t="s">
        <v>863</v>
      </c>
      <c r="D435" s="8" t="s">
        <v>864</v>
      </c>
      <c r="E435" s="55"/>
      <c r="F435" s="8"/>
    </row>
    <row r="436" spans="1:6" x14ac:dyDescent="0.35">
      <c r="A436" s="54">
        <v>435</v>
      </c>
      <c r="B436" s="57">
        <v>45838.327835648146</v>
      </c>
      <c r="C436" s="55" t="s">
        <v>865</v>
      </c>
      <c r="D436" s="55" t="s">
        <v>866</v>
      </c>
      <c r="E436" s="55"/>
      <c r="F436" s="55"/>
    </row>
    <row r="437" spans="1:6" x14ac:dyDescent="0.35">
      <c r="A437" s="6">
        <v>436</v>
      </c>
      <c r="B437" s="48">
        <v>45838.327835648146</v>
      </c>
      <c r="C437" s="8" t="s">
        <v>867</v>
      </c>
      <c r="D437" s="8" t="s">
        <v>868</v>
      </c>
      <c r="E437" s="55"/>
      <c r="F437" s="8"/>
    </row>
    <row r="438" spans="1:6" x14ac:dyDescent="0.35">
      <c r="A438" s="54">
        <v>437</v>
      </c>
      <c r="B438" s="57">
        <v>45838.327835648146</v>
      </c>
      <c r="C438" s="55" t="s">
        <v>869</v>
      </c>
      <c r="D438" s="55" t="s">
        <v>870</v>
      </c>
      <c r="E438" s="55"/>
      <c r="F438" s="55"/>
    </row>
    <row r="439" spans="1:6" x14ac:dyDescent="0.35">
      <c r="A439" s="6">
        <v>438</v>
      </c>
      <c r="B439" s="48">
        <v>45838.327835648146</v>
      </c>
      <c r="C439" s="8" t="s">
        <v>871</v>
      </c>
      <c r="D439" s="8" t="s">
        <v>872</v>
      </c>
      <c r="E439" s="55"/>
      <c r="F439" s="8"/>
    </row>
    <row r="440" spans="1:6" x14ac:dyDescent="0.35">
      <c r="A440" s="54">
        <v>439</v>
      </c>
      <c r="B440" s="57">
        <v>45838.327835648146</v>
      </c>
      <c r="C440" s="55" t="s">
        <v>873</v>
      </c>
      <c r="D440" s="55" t="s">
        <v>874</v>
      </c>
      <c r="E440" s="55"/>
      <c r="F440" s="55"/>
    </row>
    <row r="441" spans="1:6" x14ac:dyDescent="0.35">
      <c r="A441" s="6">
        <v>440</v>
      </c>
      <c r="B441" s="48">
        <v>45838.327835648146</v>
      </c>
      <c r="C441" s="8" t="s">
        <v>875</v>
      </c>
      <c r="D441" s="8" t="s">
        <v>876</v>
      </c>
      <c r="E441" s="55"/>
      <c r="F441" s="8"/>
    </row>
    <row r="442" spans="1:6" x14ac:dyDescent="0.35">
      <c r="A442" s="54">
        <v>441</v>
      </c>
      <c r="B442" s="57">
        <v>45838.327835648146</v>
      </c>
      <c r="C442" s="55" t="s">
        <v>877</v>
      </c>
      <c r="D442" s="55" t="s">
        <v>878</v>
      </c>
      <c r="E442" s="55">
        <v>150</v>
      </c>
      <c r="F442" s="55"/>
    </row>
    <row r="443" spans="1:6" x14ac:dyDescent="0.35">
      <c r="A443" s="6">
        <v>442</v>
      </c>
      <c r="B443" s="48">
        <v>45838.327835648146</v>
      </c>
      <c r="C443" s="8" t="s">
        <v>879</v>
      </c>
      <c r="D443" s="8" t="s">
        <v>880</v>
      </c>
      <c r="E443" s="55"/>
      <c r="F443" s="8"/>
    </row>
    <row r="444" spans="1:6" x14ac:dyDescent="0.35">
      <c r="A444" s="54">
        <v>443</v>
      </c>
      <c r="B444" s="57">
        <v>45838.327835648146</v>
      </c>
      <c r="C444" s="55" t="s">
        <v>881</v>
      </c>
      <c r="D444" s="55" t="s">
        <v>882</v>
      </c>
      <c r="E444" s="55"/>
      <c r="F444" s="55"/>
    </row>
    <row r="445" spans="1:6" x14ac:dyDescent="0.35">
      <c r="A445" s="6">
        <v>444</v>
      </c>
      <c r="B445" s="48">
        <v>45838.327835648146</v>
      </c>
      <c r="C445" s="8" t="s">
        <v>883</v>
      </c>
      <c r="D445" s="8" t="s">
        <v>884</v>
      </c>
      <c r="E445" s="55"/>
      <c r="F445" s="8"/>
    </row>
    <row r="446" spans="1:6" x14ac:dyDescent="0.35">
      <c r="A446" s="54">
        <v>445</v>
      </c>
      <c r="B446" s="57">
        <v>45838.327835648146</v>
      </c>
      <c r="C446" s="55" t="s">
        <v>885</v>
      </c>
      <c r="D446" s="55" t="s">
        <v>886</v>
      </c>
      <c r="E446" s="55"/>
      <c r="F446" s="55"/>
    </row>
    <row r="447" spans="1:6" x14ac:dyDescent="0.35">
      <c r="A447" s="6">
        <v>446</v>
      </c>
      <c r="B447" s="48">
        <v>45838.327835648146</v>
      </c>
      <c r="C447" s="8" t="s">
        <v>887</v>
      </c>
      <c r="D447" s="8" t="s">
        <v>888</v>
      </c>
      <c r="E447" s="55"/>
      <c r="F447" s="8"/>
    </row>
    <row r="448" spans="1:6" x14ac:dyDescent="0.35">
      <c r="A448" s="54">
        <v>447</v>
      </c>
      <c r="B448" s="57">
        <v>45838.327835648146</v>
      </c>
      <c r="C448" s="55" t="s">
        <v>889</v>
      </c>
      <c r="D448" s="55" t="s">
        <v>890</v>
      </c>
      <c r="E448" s="55"/>
      <c r="F448" s="55"/>
    </row>
    <row r="449" spans="1:6" x14ac:dyDescent="0.35">
      <c r="A449" s="6">
        <v>448</v>
      </c>
      <c r="B449" s="48">
        <v>45838.327835648146</v>
      </c>
      <c r="C449" s="8" t="s">
        <v>891</v>
      </c>
      <c r="D449" s="8" t="s">
        <v>892</v>
      </c>
      <c r="E449" s="55"/>
      <c r="F449" s="8"/>
    </row>
    <row r="450" spans="1:6" x14ac:dyDescent="0.35">
      <c r="A450" s="54">
        <v>449</v>
      </c>
      <c r="B450" s="57">
        <v>45838.327835648146</v>
      </c>
      <c r="C450" s="55" t="s">
        <v>893</v>
      </c>
      <c r="D450" s="55" t="s">
        <v>894</v>
      </c>
      <c r="E450" s="55"/>
      <c r="F450" s="55"/>
    </row>
    <row r="451" spans="1:6" x14ac:dyDescent="0.35">
      <c r="A451" s="6">
        <v>450</v>
      </c>
      <c r="B451" s="48">
        <v>45838.327835648146</v>
      </c>
      <c r="C451" s="8" t="s">
        <v>895</v>
      </c>
      <c r="D451" s="8" t="s">
        <v>896</v>
      </c>
      <c r="E451" s="55"/>
      <c r="F451" s="8"/>
    </row>
    <row r="452" spans="1:6" x14ac:dyDescent="0.35">
      <c r="A452" s="54">
        <v>451</v>
      </c>
      <c r="B452" s="57">
        <v>45838.327835648146</v>
      </c>
      <c r="C452" s="55" t="s">
        <v>897</v>
      </c>
      <c r="D452" s="55" t="s">
        <v>898</v>
      </c>
      <c r="E452" s="55"/>
      <c r="F452" s="55"/>
    </row>
    <row r="453" spans="1:6" x14ac:dyDescent="0.35">
      <c r="A453" s="6">
        <v>452</v>
      </c>
      <c r="B453" s="48">
        <v>45838.327835648146</v>
      </c>
      <c r="C453" s="8" t="s">
        <v>899</v>
      </c>
      <c r="D453" s="8" t="s">
        <v>900</v>
      </c>
      <c r="E453" s="55"/>
      <c r="F453" s="8"/>
    </row>
    <row r="454" spans="1:6" x14ac:dyDescent="0.35">
      <c r="A454" s="54">
        <v>453</v>
      </c>
      <c r="B454" s="57">
        <v>45838.327835648146</v>
      </c>
      <c r="C454" s="55" t="s">
        <v>901</v>
      </c>
      <c r="D454" s="55" t="s">
        <v>902</v>
      </c>
      <c r="E454" s="55"/>
      <c r="F454" s="55"/>
    </row>
    <row r="455" spans="1:6" x14ac:dyDescent="0.35">
      <c r="A455" s="6">
        <v>454</v>
      </c>
      <c r="B455" s="48">
        <v>45838.327835648146</v>
      </c>
      <c r="C455" s="8" t="s">
        <v>903</v>
      </c>
      <c r="D455" s="8" t="s">
        <v>904</v>
      </c>
      <c r="E455" s="55"/>
      <c r="F455" s="8"/>
    </row>
    <row r="456" spans="1:6" x14ac:dyDescent="0.35">
      <c r="A456" s="54">
        <v>455</v>
      </c>
      <c r="B456" s="57">
        <v>45838.327835648146</v>
      </c>
      <c r="C456" s="55" t="s">
        <v>905</v>
      </c>
      <c r="D456" s="55" t="s">
        <v>906</v>
      </c>
      <c r="E456" s="55"/>
      <c r="F456" s="55"/>
    </row>
    <row r="457" spans="1:6" x14ac:dyDescent="0.35">
      <c r="A457" s="6">
        <v>456</v>
      </c>
      <c r="B457" s="48">
        <v>45838.327835648146</v>
      </c>
      <c r="C457" s="8" t="s">
        <v>907</v>
      </c>
      <c r="D457" s="8" t="s">
        <v>908</v>
      </c>
      <c r="E457" s="55"/>
      <c r="F457" s="8"/>
    </row>
    <row r="458" spans="1:6" x14ac:dyDescent="0.35">
      <c r="A458" s="54">
        <v>457</v>
      </c>
      <c r="B458" s="57">
        <v>45838.327835648146</v>
      </c>
      <c r="C458" s="55" t="s">
        <v>909</v>
      </c>
      <c r="D458" s="55" t="s">
        <v>910</v>
      </c>
      <c r="E458" s="55"/>
      <c r="F458" s="55"/>
    </row>
    <row r="459" spans="1:6" x14ac:dyDescent="0.35">
      <c r="A459" s="6">
        <v>458</v>
      </c>
      <c r="B459" s="48">
        <v>45838.327835648146</v>
      </c>
      <c r="C459" s="8" t="s">
        <v>911</v>
      </c>
      <c r="D459" s="8" t="s">
        <v>912</v>
      </c>
      <c r="E459" s="55"/>
      <c r="F459" s="8"/>
    </row>
    <row r="460" spans="1:6" x14ac:dyDescent="0.35">
      <c r="A460" s="54">
        <v>459</v>
      </c>
      <c r="B460" s="57">
        <v>45838.327835648146</v>
      </c>
      <c r="C460" s="55" t="s">
        <v>913</v>
      </c>
      <c r="D460" s="55" t="s">
        <v>914</v>
      </c>
      <c r="E460" s="55"/>
      <c r="F460" s="55"/>
    </row>
    <row r="461" spans="1:6" x14ac:dyDescent="0.35">
      <c r="A461" s="6">
        <v>460</v>
      </c>
      <c r="B461" s="48">
        <v>45838.327835648146</v>
      </c>
      <c r="C461" s="8" t="s">
        <v>915</v>
      </c>
      <c r="D461" s="8" t="s">
        <v>916</v>
      </c>
      <c r="E461" s="55"/>
      <c r="F461" s="8"/>
    </row>
    <row r="462" spans="1:6" x14ac:dyDescent="0.35">
      <c r="A462" s="54">
        <v>461</v>
      </c>
      <c r="B462" s="57">
        <v>45838.327835648146</v>
      </c>
      <c r="C462" s="55" t="s">
        <v>917</v>
      </c>
      <c r="D462" s="55" t="s">
        <v>918</v>
      </c>
      <c r="E462" s="55"/>
      <c r="F462" s="55"/>
    </row>
    <row r="463" spans="1:6" x14ac:dyDescent="0.35">
      <c r="A463" s="6">
        <v>462</v>
      </c>
      <c r="B463" s="48">
        <v>45838.327835648146</v>
      </c>
      <c r="C463" s="8" t="s">
        <v>919</v>
      </c>
      <c r="D463" s="8" t="s">
        <v>920</v>
      </c>
      <c r="E463" s="55"/>
      <c r="F463" s="8"/>
    </row>
    <row r="464" spans="1:6" x14ac:dyDescent="0.35">
      <c r="A464" s="54">
        <v>463</v>
      </c>
      <c r="B464" s="57">
        <v>45838.327835648146</v>
      </c>
      <c r="C464" s="55" t="s">
        <v>921</v>
      </c>
      <c r="D464" s="55" t="s">
        <v>922</v>
      </c>
      <c r="E464" s="55"/>
      <c r="F464" s="55"/>
    </row>
    <row r="465" spans="1:6" x14ac:dyDescent="0.35">
      <c r="A465" s="6">
        <v>464</v>
      </c>
      <c r="B465" s="48">
        <v>45838.327835648146</v>
      </c>
      <c r="C465" s="8" t="s">
        <v>923</v>
      </c>
      <c r="D465" s="8" t="s">
        <v>924</v>
      </c>
      <c r="E465" s="55"/>
      <c r="F465" s="8"/>
    </row>
    <row r="466" spans="1:6" x14ac:dyDescent="0.35">
      <c r="A466" s="54">
        <v>465</v>
      </c>
      <c r="B466" s="57">
        <v>45838.327835648146</v>
      </c>
      <c r="C466" s="55" t="s">
        <v>925</v>
      </c>
      <c r="D466" s="55" t="s">
        <v>926</v>
      </c>
      <c r="E466" s="55"/>
      <c r="F466" s="55"/>
    </row>
    <row r="467" spans="1:6" x14ac:dyDescent="0.35">
      <c r="A467" s="6">
        <v>466</v>
      </c>
      <c r="B467" s="48">
        <v>45838.327835648146</v>
      </c>
      <c r="C467" s="8" t="s">
        <v>927</v>
      </c>
      <c r="D467" s="8" t="s">
        <v>928</v>
      </c>
      <c r="E467" s="55"/>
      <c r="F467" s="8"/>
    </row>
    <row r="468" spans="1:6" x14ac:dyDescent="0.35">
      <c r="A468" s="54">
        <v>467</v>
      </c>
      <c r="B468" s="57">
        <v>45838.327835648146</v>
      </c>
      <c r="C468" s="55" t="s">
        <v>929</v>
      </c>
      <c r="D468" s="55" t="s">
        <v>930</v>
      </c>
      <c r="E468" s="55"/>
      <c r="F468" s="55"/>
    </row>
    <row r="469" spans="1:6" x14ac:dyDescent="0.35">
      <c r="A469" s="6">
        <v>468</v>
      </c>
      <c r="B469" s="48">
        <v>45838.327835648146</v>
      </c>
      <c r="C469" s="8" t="s">
        <v>931</v>
      </c>
      <c r="D469" s="8" t="s">
        <v>932</v>
      </c>
      <c r="E469" s="55"/>
      <c r="F469" s="8"/>
    </row>
    <row r="470" spans="1:6" x14ac:dyDescent="0.35">
      <c r="A470" s="54">
        <v>469</v>
      </c>
      <c r="B470" s="57">
        <v>45838.327835648146</v>
      </c>
      <c r="C470" s="55" t="s">
        <v>933</v>
      </c>
      <c r="D470" s="55" t="s">
        <v>934</v>
      </c>
      <c r="E470" s="55"/>
      <c r="F470" s="55"/>
    </row>
    <row r="471" spans="1:6" x14ac:dyDescent="0.35">
      <c r="A471" s="6">
        <v>470</v>
      </c>
      <c r="B471" s="48">
        <v>45838.327835648146</v>
      </c>
      <c r="C471" s="8" t="s">
        <v>935</v>
      </c>
      <c r="D471" s="8" t="s">
        <v>936</v>
      </c>
      <c r="E471" s="55"/>
      <c r="F471" s="8"/>
    </row>
    <row r="472" spans="1:6" x14ac:dyDescent="0.35">
      <c r="A472" s="54">
        <v>471</v>
      </c>
      <c r="B472" s="57">
        <v>45838.327835648146</v>
      </c>
      <c r="C472" s="55" t="s">
        <v>937</v>
      </c>
      <c r="D472" s="55" t="s">
        <v>938</v>
      </c>
      <c r="E472" s="55"/>
      <c r="F472" s="55"/>
    </row>
    <row r="473" spans="1:6" x14ac:dyDescent="0.35">
      <c r="A473" s="6">
        <v>472</v>
      </c>
      <c r="B473" s="48">
        <v>45838.327835648146</v>
      </c>
      <c r="C473" s="8" t="s">
        <v>939</v>
      </c>
      <c r="D473" s="8" t="s">
        <v>940</v>
      </c>
      <c r="E473" s="55"/>
      <c r="F473" s="8"/>
    </row>
    <row r="474" spans="1:6" x14ac:dyDescent="0.35">
      <c r="A474" s="54">
        <v>473</v>
      </c>
      <c r="B474" s="57">
        <v>45838.327835648146</v>
      </c>
      <c r="C474" s="55" t="s">
        <v>941</v>
      </c>
      <c r="D474" s="55" t="s">
        <v>942</v>
      </c>
      <c r="E474" s="55"/>
      <c r="F474" s="55"/>
    </row>
    <row r="475" spans="1:6" x14ac:dyDescent="0.35">
      <c r="A475" s="6">
        <v>474</v>
      </c>
      <c r="B475" s="48">
        <v>45838.327835648146</v>
      </c>
      <c r="C475" s="8" t="s">
        <v>943</v>
      </c>
      <c r="D475" s="8" t="s">
        <v>944</v>
      </c>
      <c r="E475" s="55"/>
      <c r="F475" s="8"/>
    </row>
    <row r="476" spans="1:6" x14ac:dyDescent="0.35">
      <c r="A476" s="54">
        <v>475</v>
      </c>
      <c r="B476" s="57">
        <v>45838.327835648146</v>
      </c>
      <c r="C476" s="55" t="s">
        <v>945</v>
      </c>
      <c r="D476" s="55" t="s">
        <v>946</v>
      </c>
      <c r="E476" s="55"/>
      <c r="F476" s="55"/>
    </row>
    <row r="477" spans="1:6" x14ac:dyDescent="0.35">
      <c r="A477" s="6">
        <v>476</v>
      </c>
      <c r="B477" s="48">
        <v>45838.327835648146</v>
      </c>
      <c r="C477" s="8" t="s">
        <v>947</v>
      </c>
      <c r="D477" s="8" t="s">
        <v>948</v>
      </c>
      <c r="E477" s="55"/>
      <c r="F477" s="8"/>
    </row>
    <row r="478" spans="1:6" x14ac:dyDescent="0.35">
      <c r="A478" s="54">
        <v>477</v>
      </c>
      <c r="B478" s="57">
        <v>45838.327835648146</v>
      </c>
      <c r="C478" s="55" t="s">
        <v>949</v>
      </c>
      <c r="D478" s="55" t="s">
        <v>950</v>
      </c>
      <c r="E478" s="55"/>
      <c r="F478" s="55"/>
    </row>
    <row r="479" spans="1:6" x14ac:dyDescent="0.35">
      <c r="A479" s="6">
        <v>478</v>
      </c>
      <c r="B479" s="48">
        <v>45838.327835648146</v>
      </c>
      <c r="C479" s="8" t="s">
        <v>951</v>
      </c>
      <c r="D479" s="8" t="s">
        <v>952</v>
      </c>
      <c r="E479" s="55"/>
      <c r="F479" s="8"/>
    </row>
    <row r="480" spans="1:6" x14ac:dyDescent="0.35">
      <c r="A480" s="54">
        <v>479</v>
      </c>
      <c r="B480" s="57">
        <v>45838.327835648146</v>
      </c>
      <c r="C480" s="55" t="s">
        <v>953</v>
      </c>
      <c r="D480" s="55" t="s">
        <v>954</v>
      </c>
      <c r="E480" s="55"/>
      <c r="F480" s="55"/>
    </row>
    <row r="481" spans="1:6" x14ac:dyDescent="0.35">
      <c r="A481" s="6">
        <v>480</v>
      </c>
      <c r="B481" s="48">
        <v>45838.327835648146</v>
      </c>
      <c r="C481" s="8" t="s">
        <v>955</v>
      </c>
      <c r="D481" s="8" t="s">
        <v>956</v>
      </c>
      <c r="E481" s="55"/>
      <c r="F481" s="8"/>
    </row>
    <row r="482" spans="1:6" x14ac:dyDescent="0.35">
      <c r="A482" s="54">
        <v>481</v>
      </c>
      <c r="B482" s="57">
        <v>45838.327835648146</v>
      </c>
      <c r="C482" s="55" t="s">
        <v>957</v>
      </c>
      <c r="D482" s="55" t="s">
        <v>958</v>
      </c>
      <c r="E482" s="55"/>
      <c r="F482" s="55"/>
    </row>
    <row r="483" spans="1:6" x14ac:dyDescent="0.35">
      <c r="A483" s="6">
        <v>482</v>
      </c>
      <c r="B483" s="48">
        <v>45838.327835648146</v>
      </c>
      <c r="C483" s="8" t="s">
        <v>959</v>
      </c>
      <c r="D483" s="8" t="s">
        <v>960</v>
      </c>
      <c r="E483" s="55"/>
      <c r="F483" s="8"/>
    </row>
    <row r="484" spans="1:6" x14ac:dyDescent="0.35">
      <c r="A484" s="54">
        <v>483</v>
      </c>
      <c r="B484" s="57">
        <v>45838.327835648146</v>
      </c>
      <c r="C484" s="55" t="s">
        <v>961</v>
      </c>
      <c r="D484" s="55" t="s">
        <v>962</v>
      </c>
      <c r="E484" s="55"/>
      <c r="F484" s="55"/>
    </row>
    <row r="485" spans="1:6" x14ac:dyDescent="0.35">
      <c r="A485" s="6">
        <v>484</v>
      </c>
      <c r="B485" s="48">
        <v>45838.327835648146</v>
      </c>
      <c r="C485" s="8" t="s">
        <v>963</v>
      </c>
      <c r="D485" s="8" t="s">
        <v>964</v>
      </c>
      <c r="E485" s="55"/>
      <c r="F485" s="8"/>
    </row>
    <row r="486" spans="1:6" x14ac:dyDescent="0.35">
      <c r="A486" s="54">
        <v>485</v>
      </c>
      <c r="B486" s="57">
        <v>45838.327835648146</v>
      </c>
      <c r="C486" s="55" t="s">
        <v>965</v>
      </c>
      <c r="D486" s="55" t="s">
        <v>966</v>
      </c>
      <c r="E486" s="55"/>
      <c r="F486" s="55"/>
    </row>
    <row r="487" spans="1:6" x14ac:dyDescent="0.35">
      <c r="A487" s="6">
        <v>486</v>
      </c>
      <c r="B487" s="48">
        <v>45838.327835648146</v>
      </c>
      <c r="C487" s="8" t="s">
        <v>967</v>
      </c>
      <c r="D487" s="8" t="s">
        <v>968</v>
      </c>
      <c r="E487" s="55"/>
      <c r="F487" s="8"/>
    </row>
    <row r="488" spans="1:6" x14ac:dyDescent="0.35">
      <c r="A488" s="54">
        <v>487</v>
      </c>
      <c r="B488" s="57">
        <v>45838.327835648146</v>
      </c>
      <c r="C488" s="55" t="s">
        <v>969</v>
      </c>
      <c r="D488" s="55" t="s">
        <v>970</v>
      </c>
      <c r="E488" s="55"/>
      <c r="F488" s="55"/>
    </row>
    <row r="489" spans="1:6" x14ac:dyDescent="0.35">
      <c r="A489" s="6">
        <v>488</v>
      </c>
      <c r="B489" s="48">
        <v>45838.327835648146</v>
      </c>
      <c r="C489" s="8" t="s">
        <v>971</v>
      </c>
      <c r="D489" s="8" t="s">
        <v>972</v>
      </c>
      <c r="E489" s="55"/>
      <c r="F489" s="8"/>
    </row>
    <row r="490" spans="1:6" x14ac:dyDescent="0.35">
      <c r="A490" s="54">
        <v>489</v>
      </c>
      <c r="B490" s="57">
        <v>45838.327835648146</v>
      </c>
      <c r="C490" s="55" t="s">
        <v>973</v>
      </c>
      <c r="D490" s="55" t="s">
        <v>974</v>
      </c>
      <c r="E490" s="55"/>
      <c r="F490" s="55"/>
    </row>
    <row r="491" spans="1:6" x14ac:dyDescent="0.35">
      <c r="A491" s="6">
        <v>490</v>
      </c>
      <c r="B491" s="48">
        <v>45838.327835648146</v>
      </c>
      <c r="C491" s="8" t="s">
        <v>975</v>
      </c>
      <c r="D491" s="8" t="s">
        <v>976</v>
      </c>
      <c r="E491" s="55"/>
      <c r="F491" s="8"/>
    </row>
    <row r="492" spans="1:6" x14ac:dyDescent="0.35">
      <c r="A492" s="54">
        <v>491</v>
      </c>
      <c r="B492" s="57">
        <v>45838.327835648146</v>
      </c>
      <c r="C492" s="55" t="s">
        <v>977</v>
      </c>
      <c r="D492" s="55" t="s">
        <v>978</v>
      </c>
      <c r="E492" s="55"/>
      <c r="F492" s="55"/>
    </row>
    <row r="493" spans="1:6" x14ac:dyDescent="0.35">
      <c r="A493" s="6">
        <v>492</v>
      </c>
      <c r="B493" s="48">
        <v>45838.327835648146</v>
      </c>
      <c r="C493" s="8" t="s">
        <v>979</v>
      </c>
      <c r="D493" s="8" t="s">
        <v>980</v>
      </c>
      <c r="E493" s="55"/>
      <c r="F493" s="8"/>
    </row>
    <row r="494" spans="1:6" x14ac:dyDescent="0.35">
      <c r="A494" s="54">
        <v>493</v>
      </c>
      <c r="B494" s="57">
        <v>45838.327835648146</v>
      </c>
      <c r="C494" s="55" t="s">
        <v>981</v>
      </c>
      <c r="D494" s="55" t="s">
        <v>982</v>
      </c>
      <c r="E494" s="55"/>
      <c r="F494" s="55"/>
    </row>
    <row r="495" spans="1:6" x14ac:dyDescent="0.35">
      <c r="A495" s="6">
        <v>494</v>
      </c>
      <c r="B495" s="48">
        <v>45838.327835648146</v>
      </c>
      <c r="C495" s="8" t="s">
        <v>983</v>
      </c>
      <c r="D495" s="8" t="s">
        <v>984</v>
      </c>
      <c r="E495" s="55" t="s">
        <v>58</v>
      </c>
      <c r="F495" s="8"/>
    </row>
    <row r="496" spans="1:6" x14ac:dyDescent="0.35">
      <c r="A496" s="54">
        <v>495</v>
      </c>
      <c r="B496" s="57">
        <v>45838.327835648146</v>
      </c>
      <c r="C496" s="55" t="s">
        <v>985</v>
      </c>
      <c r="D496" s="55" t="s">
        <v>986</v>
      </c>
      <c r="E496" s="55" t="s">
        <v>58</v>
      </c>
      <c r="F496" s="55"/>
    </row>
    <row r="497" spans="1:6" x14ac:dyDescent="0.35">
      <c r="A497" s="6">
        <v>496</v>
      </c>
      <c r="B497" s="48">
        <v>45838.327835648146</v>
      </c>
      <c r="C497" s="8" t="s">
        <v>987</v>
      </c>
      <c r="D497" s="8" t="s">
        <v>988</v>
      </c>
      <c r="E497" s="55" t="s">
        <v>31</v>
      </c>
      <c r="F497" s="8"/>
    </row>
    <row r="498" spans="1:6" x14ac:dyDescent="0.35">
      <c r="A498" s="54">
        <v>497</v>
      </c>
      <c r="B498" s="57">
        <v>45838.327835648146</v>
      </c>
      <c r="C498" s="55" t="s">
        <v>989</v>
      </c>
      <c r="D498" s="55" t="s">
        <v>990</v>
      </c>
      <c r="E498" s="55" t="s">
        <v>31</v>
      </c>
      <c r="F498" s="55"/>
    </row>
    <row r="499" spans="1:6" x14ac:dyDescent="0.35">
      <c r="A499" s="6">
        <v>498</v>
      </c>
      <c r="B499" s="48">
        <v>45838.327835648146</v>
      </c>
      <c r="C499" s="8" t="s">
        <v>991</v>
      </c>
      <c r="D499" s="8" t="s">
        <v>992</v>
      </c>
      <c r="E499" s="55" t="s">
        <v>58</v>
      </c>
      <c r="F499" s="8"/>
    </row>
    <row r="500" spans="1:6" x14ac:dyDescent="0.35">
      <c r="A500" s="54">
        <v>499</v>
      </c>
      <c r="B500" s="57">
        <v>45838.327835648146</v>
      </c>
      <c r="C500" s="55" t="s">
        <v>993</v>
      </c>
      <c r="D500" s="55" t="s">
        <v>994</v>
      </c>
      <c r="E500" s="55"/>
      <c r="F500" s="55"/>
    </row>
    <row r="501" spans="1:6" x14ac:dyDescent="0.35">
      <c r="A501" s="6">
        <v>500</v>
      </c>
      <c r="B501" s="48">
        <v>45838.327835648146</v>
      </c>
      <c r="C501" s="8" t="s">
        <v>995</v>
      </c>
      <c r="D501" s="8" t="s">
        <v>996</v>
      </c>
      <c r="E501" s="55"/>
      <c r="F501" s="8"/>
    </row>
    <row r="502" spans="1:6" x14ac:dyDescent="0.35">
      <c r="A502" s="54">
        <v>501</v>
      </c>
      <c r="B502" s="57">
        <v>45838.327835648146</v>
      </c>
      <c r="C502" s="55" t="s">
        <v>997</v>
      </c>
      <c r="D502" s="55" t="s">
        <v>998</v>
      </c>
      <c r="E502" s="55"/>
      <c r="F502" s="55"/>
    </row>
    <row r="503" spans="1:6" x14ac:dyDescent="0.35">
      <c r="A503" s="6">
        <v>502</v>
      </c>
      <c r="B503" s="48">
        <v>45838.327835648146</v>
      </c>
      <c r="C503" s="8" t="s">
        <v>999</v>
      </c>
      <c r="D503" s="8" t="s">
        <v>1000</v>
      </c>
      <c r="E503" s="55"/>
      <c r="F503" s="8"/>
    </row>
    <row r="504" spans="1:6" x14ac:dyDescent="0.35">
      <c r="A504" s="54">
        <v>503</v>
      </c>
      <c r="B504" s="57">
        <v>45838.327835648146</v>
      </c>
      <c r="C504" s="55" t="s">
        <v>1001</v>
      </c>
      <c r="D504" s="55" t="s">
        <v>1002</v>
      </c>
      <c r="E504" s="55"/>
      <c r="F504" s="55"/>
    </row>
    <row r="505" spans="1:6" x14ac:dyDescent="0.35">
      <c r="A505" s="6">
        <v>504</v>
      </c>
      <c r="B505" s="48">
        <v>45838.327835648146</v>
      </c>
      <c r="C505" s="8" t="s">
        <v>1003</v>
      </c>
      <c r="D505" s="8" t="s">
        <v>1004</v>
      </c>
      <c r="E505" s="55"/>
      <c r="F505" s="8"/>
    </row>
    <row r="506" spans="1:6" x14ac:dyDescent="0.35">
      <c r="A506" s="54">
        <v>505</v>
      </c>
      <c r="B506" s="57">
        <v>45838.327835648146</v>
      </c>
      <c r="C506" s="55" t="s">
        <v>1005</v>
      </c>
      <c r="D506" s="55" t="s">
        <v>1006</v>
      </c>
      <c r="E506" s="55"/>
      <c r="F506" s="55"/>
    </row>
    <row r="507" spans="1:6" x14ac:dyDescent="0.35">
      <c r="A507" s="6">
        <v>506</v>
      </c>
      <c r="B507" s="48">
        <v>45838.327835648146</v>
      </c>
      <c r="C507" s="8" t="s">
        <v>1007</v>
      </c>
      <c r="D507" s="8" t="s">
        <v>1008</v>
      </c>
      <c r="E507" s="55"/>
      <c r="F507" s="8"/>
    </row>
    <row r="508" spans="1:6" x14ac:dyDescent="0.35">
      <c r="A508" s="54">
        <v>507</v>
      </c>
      <c r="B508" s="57">
        <v>45838.327835648146</v>
      </c>
      <c r="C508" s="55" t="s">
        <v>1009</v>
      </c>
      <c r="D508" s="55" t="s">
        <v>1010</v>
      </c>
      <c r="E508" s="55"/>
      <c r="F508" s="55"/>
    </row>
    <row r="509" spans="1:6" x14ac:dyDescent="0.35">
      <c r="A509" s="6">
        <v>508</v>
      </c>
      <c r="B509" s="48">
        <v>45838.327835648146</v>
      </c>
      <c r="C509" s="8" t="s">
        <v>1011</v>
      </c>
      <c r="D509" s="8" t="s">
        <v>1012</v>
      </c>
      <c r="E509" s="55"/>
      <c r="F509" s="8"/>
    </row>
    <row r="510" spans="1:6" x14ac:dyDescent="0.35">
      <c r="A510" s="54">
        <v>509</v>
      </c>
      <c r="B510" s="57">
        <v>45838.327835648146</v>
      </c>
      <c r="C510" s="55" t="s">
        <v>1013</v>
      </c>
      <c r="D510" s="55" t="s">
        <v>1014</v>
      </c>
      <c r="E510" s="55"/>
      <c r="F510" s="55"/>
    </row>
    <row r="511" spans="1:6" x14ac:dyDescent="0.35">
      <c r="A511" s="6">
        <v>510</v>
      </c>
      <c r="B511" s="48">
        <v>45838.327835648146</v>
      </c>
      <c r="C511" s="8" t="s">
        <v>1015</v>
      </c>
      <c r="D511" s="8" t="s">
        <v>1016</v>
      </c>
      <c r="E511" s="55"/>
      <c r="F511" s="8"/>
    </row>
    <row r="512" spans="1:6" x14ac:dyDescent="0.35">
      <c r="A512" s="54">
        <v>511</v>
      </c>
      <c r="B512" s="57">
        <v>45838.327835648146</v>
      </c>
      <c r="C512" s="55" t="s">
        <v>1017</v>
      </c>
      <c r="D512" s="55" t="s">
        <v>1018</v>
      </c>
      <c r="E512" s="55" t="s">
        <v>31</v>
      </c>
      <c r="F512" s="55"/>
    </row>
    <row r="513" spans="1:6" x14ac:dyDescent="0.35">
      <c r="A513" s="6">
        <v>512</v>
      </c>
      <c r="B513" s="48">
        <v>45838.327835648146</v>
      </c>
      <c r="C513" s="8" t="s">
        <v>1019</v>
      </c>
      <c r="D513" s="8" t="s">
        <v>183</v>
      </c>
      <c r="E513" s="55" t="s">
        <v>31</v>
      </c>
      <c r="F513" s="8"/>
    </row>
    <row r="514" spans="1:6" x14ac:dyDescent="0.35">
      <c r="A514" s="54">
        <v>513</v>
      </c>
      <c r="B514" s="57">
        <v>45838.327835648146</v>
      </c>
      <c r="C514" s="55" t="s">
        <v>1020</v>
      </c>
      <c r="D514" s="55" t="s">
        <v>1021</v>
      </c>
      <c r="E514" s="55" t="s">
        <v>31</v>
      </c>
      <c r="F514" s="55"/>
    </row>
    <row r="515" spans="1:6" x14ac:dyDescent="0.35">
      <c r="A515" s="6">
        <v>514</v>
      </c>
      <c r="B515" s="48">
        <v>45838.327835648146</v>
      </c>
      <c r="C515" s="8" t="s">
        <v>1022</v>
      </c>
      <c r="D515" s="8" t="s">
        <v>1023</v>
      </c>
      <c r="E515" s="55" t="s">
        <v>31</v>
      </c>
      <c r="F515" s="8"/>
    </row>
    <row r="516" spans="1:6" x14ac:dyDescent="0.35">
      <c r="A516" s="54">
        <v>515</v>
      </c>
      <c r="B516" s="57">
        <v>45838.327835648146</v>
      </c>
      <c r="C516" s="55" t="s">
        <v>1040</v>
      </c>
      <c r="D516" s="55" t="s">
        <v>1041</v>
      </c>
      <c r="E516" s="55" t="s">
        <v>31</v>
      </c>
      <c r="F516" s="55"/>
    </row>
    <row r="517" spans="1:6" x14ac:dyDescent="0.35">
      <c r="A517" s="6">
        <v>516</v>
      </c>
      <c r="B517" s="48">
        <v>45838.327835648146</v>
      </c>
      <c r="C517" s="8" t="s">
        <v>1042</v>
      </c>
      <c r="D517" s="8" t="s">
        <v>389</v>
      </c>
      <c r="E517" s="55" t="s">
        <v>31</v>
      </c>
      <c r="F517" s="8"/>
    </row>
    <row r="518" spans="1:6" x14ac:dyDescent="0.35">
      <c r="A518" s="54">
        <v>517</v>
      </c>
      <c r="B518" s="57">
        <v>45838.327835648146</v>
      </c>
      <c r="C518" s="55" t="s">
        <v>1043</v>
      </c>
      <c r="D518" s="55"/>
      <c r="E518" s="55"/>
      <c r="F518" s="55"/>
    </row>
    <row r="519" spans="1:6" x14ac:dyDescent="0.35">
      <c r="A519" s="6">
        <v>518</v>
      </c>
      <c r="B519" s="48">
        <v>45838.327835648146</v>
      </c>
      <c r="C519" s="8" t="s">
        <v>1044</v>
      </c>
      <c r="D519" s="8"/>
      <c r="E519" s="55"/>
      <c r="F519" s="8"/>
    </row>
    <row r="520" spans="1:6" x14ac:dyDescent="0.35">
      <c r="A520" s="54">
        <v>519</v>
      </c>
      <c r="B520" s="57">
        <v>45838.327835648146</v>
      </c>
      <c r="C520" s="55" t="s">
        <v>1045</v>
      </c>
      <c r="D520" s="55"/>
      <c r="E520" s="55"/>
      <c r="F520" s="55"/>
    </row>
    <row r="521" spans="1:6" x14ac:dyDescent="0.35">
      <c r="A521" s="6">
        <v>520</v>
      </c>
      <c r="B521" s="48">
        <v>45838.327835648146</v>
      </c>
      <c r="C521" s="8" t="s">
        <v>1046</v>
      </c>
      <c r="D521" s="8"/>
      <c r="E521" s="55"/>
      <c r="F521" s="8"/>
    </row>
    <row r="522" spans="1:6" x14ac:dyDescent="0.35">
      <c r="A522" s="54">
        <v>521</v>
      </c>
      <c r="B522" s="57">
        <v>45838.327835648146</v>
      </c>
      <c r="C522" s="55" t="s">
        <v>1047</v>
      </c>
      <c r="D522" s="55"/>
      <c r="E522" s="55"/>
      <c r="F522" s="55"/>
    </row>
    <row r="523" spans="1:6" x14ac:dyDescent="0.35">
      <c r="A523" s="6">
        <v>522</v>
      </c>
      <c r="B523" s="48">
        <v>45838.327835648146</v>
      </c>
      <c r="C523" s="8" t="s">
        <v>1048</v>
      </c>
      <c r="D523" s="8"/>
      <c r="E523" s="55"/>
      <c r="F523" s="8"/>
    </row>
    <row r="524" spans="1:6" x14ac:dyDescent="0.35">
      <c r="A524" s="54">
        <v>523</v>
      </c>
      <c r="B524" s="57">
        <v>45838.327835648146</v>
      </c>
      <c r="C524" s="55" t="s">
        <v>1049</v>
      </c>
      <c r="D524" s="55"/>
      <c r="E524" s="55"/>
      <c r="F524" s="55"/>
    </row>
    <row r="525" spans="1:6" x14ac:dyDescent="0.35">
      <c r="A525" s="6">
        <v>524</v>
      </c>
      <c r="B525" s="48">
        <v>45838.327835648146</v>
      </c>
      <c r="C525" s="8" t="s">
        <v>1050</v>
      </c>
      <c r="D525" s="8"/>
      <c r="E525" s="55"/>
      <c r="F525" s="8"/>
    </row>
    <row r="526" spans="1:6" x14ac:dyDescent="0.35">
      <c r="A526" s="54">
        <v>525</v>
      </c>
      <c r="B526" s="57">
        <v>45838.327835648146</v>
      </c>
      <c r="C526" s="55" t="s">
        <v>1051</v>
      </c>
      <c r="D526" s="55"/>
      <c r="E526" s="55"/>
      <c r="F526" s="55"/>
    </row>
    <row r="527" spans="1:6" x14ac:dyDescent="0.35">
      <c r="A527" s="6">
        <v>526</v>
      </c>
      <c r="B527" s="48">
        <v>45838.327835648146</v>
      </c>
      <c r="C527" s="8" t="s">
        <v>1052</v>
      </c>
      <c r="D527" s="8"/>
      <c r="E527" s="55"/>
      <c r="F527" s="8"/>
    </row>
    <row r="528" spans="1:6" x14ac:dyDescent="0.35">
      <c r="A528" s="54">
        <v>527</v>
      </c>
      <c r="B528" s="57">
        <v>45838.327835648146</v>
      </c>
      <c r="C528" s="55" t="s">
        <v>1053</v>
      </c>
      <c r="D528" s="55"/>
      <c r="E528" s="55"/>
      <c r="F528" s="55"/>
    </row>
    <row r="529" spans="1:6" x14ac:dyDescent="0.35">
      <c r="A529" s="6">
        <v>528</v>
      </c>
      <c r="B529" s="48">
        <v>45838.327835648146</v>
      </c>
      <c r="C529" s="8" t="s">
        <v>1054</v>
      </c>
      <c r="D529" s="8"/>
      <c r="E529" s="55"/>
      <c r="F529" s="8"/>
    </row>
    <row r="530" spans="1:6" x14ac:dyDescent="0.35">
      <c r="A530" s="54">
        <v>529</v>
      </c>
      <c r="B530" s="57">
        <v>45838.327835648146</v>
      </c>
      <c r="C530" s="55" t="s">
        <v>1055</v>
      </c>
      <c r="D530" s="55"/>
      <c r="E530" s="55"/>
      <c r="F530" s="55"/>
    </row>
    <row r="531" spans="1:6" x14ac:dyDescent="0.35">
      <c r="A531" s="6">
        <v>530</v>
      </c>
      <c r="B531" s="48">
        <v>45838.327835648146</v>
      </c>
      <c r="C531" s="8" t="s">
        <v>1056</v>
      </c>
      <c r="D531" s="8"/>
      <c r="E531" s="55"/>
      <c r="F531" s="8"/>
    </row>
    <row r="532" spans="1:6" x14ac:dyDescent="0.35">
      <c r="A532" s="54">
        <v>531</v>
      </c>
      <c r="B532" s="57">
        <v>45838.327835648146</v>
      </c>
      <c r="C532" s="55" t="s">
        <v>1057</v>
      </c>
      <c r="D532" s="55"/>
      <c r="E532" s="55"/>
      <c r="F532" s="55"/>
    </row>
    <row r="533" spans="1:6" x14ac:dyDescent="0.35">
      <c r="A533" s="6">
        <v>532</v>
      </c>
      <c r="B533" s="48">
        <v>45838.327835648146</v>
      </c>
      <c r="C533" s="8" t="s">
        <v>1058</v>
      </c>
      <c r="D533" s="8" t="s">
        <v>1059</v>
      </c>
      <c r="E533" s="55"/>
      <c r="F533" s="8"/>
    </row>
    <row r="534" spans="1:6" x14ac:dyDescent="0.35">
      <c r="A534" s="54">
        <v>533</v>
      </c>
      <c r="B534" s="57">
        <v>45838.327835648146</v>
      </c>
      <c r="C534" s="55" t="s">
        <v>1060</v>
      </c>
      <c r="D534" s="55" t="s">
        <v>1061</v>
      </c>
      <c r="E534" s="55"/>
      <c r="F534" s="55"/>
    </row>
    <row r="535" spans="1:6" x14ac:dyDescent="0.35">
      <c r="A535" s="6">
        <v>534</v>
      </c>
      <c r="B535" s="48">
        <v>45838.327835648146</v>
      </c>
      <c r="C535" s="8" t="s">
        <v>1062</v>
      </c>
      <c r="D535" s="8" t="s">
        <v>1063</v>
      </c>
      <c r="E535" s="55"/>
      <c r="F535" s="8"/>
    </row>
    <row r="536" spans="1:6" x14ac:dyDescent="0.35">
      <c r="A536" s="54">
        <v>535</v>
      </c>
      <c r="B536" s="57">
        <v>45838.327835648146</v>
      </c>
      <c r="C536" s="55" t="s">
        <v>1064</v>
      </c>
      <c r="D536" s="55" t="s">
        <v>1065</v>
      </c>
      <c r="E536" s="55"/>
      <c r="F536" s="55"/>
    </row>
    <row r="537" spans="1:6" x14ac:dyDescent="0.35">
      <c r="A537" s="6">
        <v>536</v>
      </c>
      <c r="B537" s="48">
        <v>45838.327835648146</v>
      </c>
      <c r="C537" s="8" t="s">
        <v>1066</v>
      </c>
      <c r="D537" s="8" t="s">
        <v>1067</v>
      </c>
      <c r="E537" s="55"/>
      <c r="F537" s="8"/>
    </row>
    <row r="538" spans="1:6" x14ac:dyDescent="0.35">
      <c r="A538" s="54">
        <v>537</v>
      </c>
      <c r="B538" s="57">
        <v>45838.327835648146</v>
      </c>
      <c r="C538" s="55" t="s">
        <v>1068</v>
      </c>
      <c r="D538" s="55" t="s">
        <v>1069</v>
      </c>
      <c r="E538" s="55"/>
      <c r="F538" s="55"/>
    </row>
    <row r="539" spans="1:6" x14ac:dyDescent="0.35">
      <c r="A539" s="6">
        <v>538</v>
      </c>
      <c r="B539" s="48">
        <v>45838.327835648146</v>
      </c>
      <c r="C539" s="8" t="s">
        <v>1070</v>
      </c>
      <c r="D539" s="8" t="s">
        <v>1071</v>
      </c>
      <c r="E539" s="55"/>
      <c r="F539" s="8"/>
    </row>
    <row r="540" spans="1:6" x14ac:dyDescent="0.35">
      <c r="A540" s="54">
        <v>539</v>
      </c>
      <c r="B540" s="57">
        <v>45838.327835648146</v>
      </c>
      <c r="C540" s="55" t="s">
        <v>1072</v>
      </c>
      <c r="D540" s="55" t="s">
        <v>1073</v>
      </c>
      <c r="E540" s="55"/>
      <c r="F540" s="55"/>
    </row>
    <row r="541" spans="1:6" x14ac:dyDescent="0.35">
      <c r="A541" s="6">
        <v>540</v>
      </c>
      <c r="B541" s="48">
        <v>45838.327835648146</v>
      </c>
      <c r="C541" s="8" t="s">
        <v>1074</v>
      </c>
      <c r="D541" s="8" t="s">
        <v>1075</v>
      </c>
      <c r="E541" s="55"/>
      <c r="F541" s="8"/>
    </row>
    <row r="542" spans="1:6" x14ac:dyDescent="0.35">
      <c r="A542" s="54">
        <v>541</v>
      </c>
      <c r="B542" s="57">
        <v>45838.327835648146</v>
      </c>
      <c r="C542" s="55" t="s">
        <v>1076</v>
      </c>
      <c r="D542" s="55" t="s">
        <v>1077</v>
      </c>
      <c r="E542" s="55"/>
      <c r="F542" s="55"/>
    </row>
    <row r="543" spans="1:6" x14ac:dyDescent="0.35">
      <c r="A543" s="6">
        <v>542</v>
      </c>
      <c r="B543" s="48">
        <v>45838.327835648146</v>
      </c>
      <c r="C543" s="8" t="s">
        <v>1078</v>
      </c>
      <c r="D543" s="8" t="s">
        <v>1079</v>
      </c>
      <c r="E543" s="55"/>
      <c r="F543" s="8"/>
    </row>
    <row r="544" spans="1:6" x14ac:dyDescent="0.35">
      <c r="A544" s="54">
        <v>543</v>
      </c>
      <c r="B544" s="57">
        <v>45838.327835648146</v>
      </c>
      <c r="C544" s="55" t="s">
        <v>1080</v>
      </c>
      <c r="D544" s="55" t="s">
        <v>1081</v>
      </c>
      <c r="E544" s="55"/>
      <c r="F544" s="55"/>
    </row>
    <row r="545" spans="1:6" x14ac:dyDescent="0.35">
      <c r="A545" s="6">
        <v>544</v>
      </c>
      <c r="B545" s="48">
        <v>45838.327835648146</v>
      </c>
      <c r="C545" s="8" t="s">
        <v>1082</v>
      </c>
      <c r="D545" s="8" t="s">
        <v>1083</v>
      </c>
      <c r="E545" s="55"/>
      <c r="F545" s="8"/>
    </row>
    <row r="546" spans="1:6" x14ac:dyDescent="0.35">
      <c r="A546" s="54">
        <v>545</v>
      </c>
      <c r="B546" s="57">
        <v>45838.327835648146</v>
      </c>
      <c r="C546" s="55" t="s">
        <v>1084</v>
      </c>
      <c r="D546" s="55" t="s">
        <v>1085</v>
      </c>
      <c r="E546" s="55"/>
      <c r="F546" s="55"/>
    </row>
    <row r="547" spans="1:6" x14ac:dyDescent="0.35">
      <c r="A547" s="6">
        <v>546</v>
      </c>
      <c r="B547" s="48">
        <v>45838.327835648146</v>
      </c>
      <c r="C547" s="8" t="s">
        <v>1086</v>
      </c>
      <c r="D547" s="8" t="s">
        <v>1087</v>
      </c>
      <c r="E547" s="55"/>
      <c r="F547" s="8"/>
    </row>
    <row r="548" spans="1:6" x14ac:dyDescent="0.35">
      <c r="A548" s="54">
        <v>547</v>
      </c>
      <c r="B548" s="57">
        <v>45838.327835648146</v>
      </c>
      <c r="C548" s="55" t="s">
        <v>1088</v>
      </c>
      <c r="D548" s="55" t="s">
        <v>1089</v>
      </c>
      <c r="E548" s="55"/>
      <c r="F548" s="55"/>
    </row>
    <row r="549" spans="1:6" x14ac:dyDescent="0.35">
      <c r="A549" s="6">
        <v>548</v>
      </c>
      <c r="B549" s="48">
        <v>45838.327835648146</v>
      </c>
      <c r="C549" s="8" t="s">
        <v>1090</v>
      </c>
      <c r="D549" s="8" t="s">
        <v>1091</v>
      </c>
      <c r="E549" s="55"/>
      <c r="F549" s="8"/>
    </row>
    <row r="550" spans="1:6" x14ac:dyDescent="0.35">
      <c r="A550" s="54">
        <v>549</v>
      </c>
      <c r="B550" s="57">
        <v>45838.327835648146</v>
      </c>
      <c r="C550" s="55" t="s">
        <v>1092</v>
      </c>
      <c r="D550" s="55" t="s">
        <v>1093</v>
      </c>
      <c r="E550" s="55"/>
      <c r="F550" s="55"/>
    </row>
    <row r="551" spans="1:6" x14ac:dyDescent="0.35">
      <c r="A551" s="6">
        <v>550</v>
      </c>
      <c r="B551" s="48">
        <v>45838.327835648146</v>
      </c>
      <c r="C551" s="8" t="s">
        <v>1094</v>
      </c>
      <c r="D551" s="8" t="s">
        <v>1093</v>
      </c>
      <c r="E551" s="55"/>
      <c r="F551" s="8"/>
    </row>
    <row r="552" spans="1:6" x14ac:dyDescent="0.35">
      <c r="A552" s="54">
        <v>551</v>
      </c>
      <c r="B552" s="57">
        <v>45838.327835648146</v>
      </c>
      <c r="C552" s="55" t="s">
        <v>1095</v>
      </c>
      <c r="D552" s="55" t="s">
        <v>1096</v>
      </c>
      <c r="E552" s="55"/>
      <c r="F552" s="55"/>
    </row>
    <row r="553" spans="1:6" x14ac:dyDescent="0.35">
      <c r="A553" s="6">
        <v>552</v>
      </c>
      <c r="B553" s="48">
        <v>45838.327835648146</v>
      </c>
      <c r="C553" s="8" t="s">
        <v>1097</v>
      </c>
      <c r="D553" s="8" t="s">
        <v>1098</v>
      </c>
      <c r="E553" s="55"/>
      <c r="F553" s="8"/>
    </row>
    <row r="554" spans="1:6" x14ac:dyDescent="0.35">
      <c r="A554" s="54">
        <v>553</v>
      </c>
      <c r="B554" s="57">
        <v>45838.327835648146</v>
      </c>
      <c r="C554" s="55" t="s">
        <v>1099</v>
      </c>
      <c r="D554" s="55" t="s">
        <v>1100</v>
      </c>
      <c r="E554" s="55"/>
      <c r="F554" s="55"/>
    </row>
    <row r="555" spans="1:6" x14ac:dyDescent="0.35">
      <c r="A555" s="6">
        <v>554</v>
      </c>
      <c r="B555" s="48">
        <v>45838.327835648146</v>
      </c>
      <c r="C555" s="8" t="s">
        <v>1101</v>
      </c>
      <c r="D555" s="8" t="s">
        <v>1102</v>
      </c>
      <c r="E555" s="55"/>
      <c r="F555" s="8"/>
    </row>
    <row r="556" spans="1:6" x14ac:dyDescent="0.35">
      <c r="A556" s="54">
        <v>555</v>
      </c>
      <c r="B556" s="57">
        <v>45838.327835648146</v>
      </c>
      <c r="C556" s="55" t="s">
        <v>1103</v>
      </c>
      <c r="D556" s="55" t="s">
        <v>1104</v>
      </c>
      <c r="E556" s="55"/>
      <c r="F556" s="55"/>
    </row>
    <row r="557" spans="1:6" x14ac:dyDescent="0.35">
      <c r="A557" s="6">
        <v>556</v>
      </c>
      <c r="B557" s="48">
        <v>45838.327835648146</v>
      </c>
      <c r="C557" s="8" t="s">
        <v>1105</v>
      </c>
      <c r="D557" s="8" t="s">
        <v>1106</v>
      </c>
      <c r="E557" s="55"/>
      <c r="F557" s="8"/>
    </row>
    <row r="558" spans="1:6" x14ac:dyDescent="0.35">
      <c r="A558" s="54">
        <v>557</v>
      </c>
      <c r="B558" s="57">
        <v>45838.327835648146</v>
      </c>
      <c r="C558" s="55" t="s">
        <v>1107</v>
      </c>
      <c r="D558" s="55" t="s">
        <v>1108</v>
      </c>
      <c r="E558" s="55"/>
      <c r="F558" s="55"/>
    </row>
    <row r="559" spans="1:6" x14ac:dyDescent="0.35">
      <c r="A559" s="6">
        <v>558</v>
      </c>
      <c r="B559" s="48">
        <v>45838.327835648146</v>
      </c>
      <c r="C559" s="8" t="s">
        <v>1109</v>
      </c>
      <c r="D559" s="8" t="s">
        <v>1108</v>
      </c>
      <c r="E559" s="55"/>
      <c r="F559" s="8"/>
    </row>
    <row r="560" spans="1:6" x14ac:dyDescent="0.35">
      <c r="A560" s="54">
        <v>559</v>
      </c>
      <c r="B560" s="57">
        <v>45838.327835648146</v>
      </c>
      <c r="C560" s="55" t="s">
        <v>1110</v>
      </c>
      <c r="D560" s="55" t="s">
        <v>1111</v>
      </c>
      <c r="E560" s="55"/>
      <c r="F560" s="55"/>
    </row>
    <row r="561" spans="1:6" x14ac:dyDescent="0.35">
      <c r="A561" s="6">
        <v>560</v>
      </c>
      <c r="B561" s="48">
        <v>45838.327835648146</v>
      </c>
      <c r="C561" s="8" t="s">
        <v>1112</v>
      </c>
      <c r="D561" s="8" t="s">
        <v>1113</v>
      </c>
      <c r="E561" s="55"/>
      <c r="F561" s="8"/>
    </row>
    <row r="562" spans="1:6" x14ac:dyDescent="0.35">
      <c r="A562" s="54">
        <v>561</v>
      </c>
      <c r="B562" s="57">
        <v>45838.327835648146</v>
      </c>
      <c r="C562" s="55" t="s">
        <v>1114</v>
      </c>
      <c r="D562" s="55" t="s">
        <v>516</v>
      </c>
      <c r="E562" s="55" t="s">
        <v>31</v>
      </c>
      <c r="F562" s="55"/>
    </row>
    <row r="563" spans="1:6" x14ac:dyDescent="0.35">
      <c r="A563" s="6">
        <v>562</v>
      </c>
      <c r="B563" s="48">
        <v>45838.327835648146</v>
      </c>
      <c r="C563" s="8" t="s">
        <v>1115</v>
      </c>
      <c r="D563" s="8" t="s">
        <v>518</v>
      </c>
      <c r="E563" s="55" t="s">
        <v>31</v>
      </c>
      <c r="F563" s="8"/>
    </row>
    <row r="564" spans="1:6" x14ac:dyDescent="0.35">
      <c r="A564" s="54">
        <v>563</v>
      </c>
      <c r="B564" s="57">
        <v>45838.327835648146</v>
      </c>
      <c r="C564" s="55" t="s">
        <v>1116</v>
      </c>
      <c r="D564" s="55" t="s">
        <v>516</v>
      </c>
      <c r="E564" s="55" t="s">
        <v>31</v>
      </c>
      <c r="F564" s="55"/>
    </row>
    <row r="565" spans="1:6" x14ac:dyDescent="0.35">
      <c r="A565" s="6">
        <v>564</v>
      </c>
      <c r="B565" s="48">
        <v>45838.327835648146</v>
      </c>
      <c r="C565" s="8" t="s">
        <v>1117</v>
      </c>
      <c r="D565" s="8" t="s">
        <v>518</v>
      </c>
      <c r="E565" s="55" t="s">
        <v>31</v>
      </c>
      <c r="F565" s="8"/>
    </row>
    <row r="566" spans="1:6" x14ac:dyDescent="0.35">
      <c r="A566" s="54">
        <v>565</v>
      </c>
      <c r="B566" s="57">
        <v>45838.327835648146</v>
      </c>
      <c r="C566" s="55" t="s">
        <v>1118</v>
      </c>
      <c r="D566" s="55" t="s">
        <v>1119</v>
      </c>
      <c r="E566" s="55"/>
      <c r="F566" s="55"/>
    </row>
    <row r="567" spans="1:6" x14ac:dyDescent="0.35">
      <c r="A567" s="6">
        <v>566</v>
      </c>
      <c r="B567" s="48">
        <v>45838.327835648146</v>
      </c>
      <c r="C567" s="8" t="s">
        <v>1120</v>
      </c>
      <c r="D567" s="8" t="s">
        <v>1121</v>
      </c>
      <c r="E567" s="55"/>
      <c r="F567" s="8"/>
    </row>
    <row r="568" spans="1:6" x14ac:dyDescent="0.35">
      <c r="A568" s="54">
        <v>567</v>
      </c>
      <c r="B568" s="57">
        <v>45838.327835648146</v>
      </c>
      <c r="C568" s="55" t="s">
        <v>1122</v>
      </c>
      <c r="D568" s="55" t="s">
        <v>1123</v>
      </c>
      <c r="E568" s="55"/>
      <c r="F568" s="55"/>
    </row>
    <row r="569" spans="1:6" x14ac:dyDescent="0.35">
      <c r="A569" s="6">
        <v>568</v>
      </c>
      <c r="B569" s="48">
        <v>45838.327835648146</v>
      </c>
      <c r="C569" s="8" t="s">
        <v>1124</v>
      </c>
      <c r="D569" s="8" t="s">
        <v>1125</v>
      </c>
      <c r="E569" s="55"/>
      <c r="F569" s="8"/>
    </row>
    <row r="570" spans="1:6" x14ac:dyDescent="0.35">
      <c r="A570" s="54">
        <v>569</v>
      </c>
      <c r="B570" s="57">
        <v>45838.327835648146</v>
      </c>
      <c r="C570" s="55" t="s">
        <v>1126</v>
      </c>
      <c r="D570" s="55" t="s">
        <v>1127</v>
      </c>
      <c r="E570" s="55"/>
      <c r="F570" s="55"/>
    </row>
    <row r="571" spans="1:6" x14ac:dyDescent="0.35">
      <c r="A571" s="6">
        <v>570</v>
      </c>
      <c r="B571" s="48">
        <v>45838.327835648146</v>
      </c>
      <c r="C571" s="8" t="s">
        <v>1128</v>
      </c>
      <c r="D571" s="8" t="s">
        <v>1129</v>
      </c>
      <c r="E571" s="55"/>
      <c r="F571" s="8"/>
    </row>
    <row r="572" spans="1:6" x14ac:dyDescent="0.35">
      <c r="A572" s="54">
        <v>571</v>
      </c>
      <c r="B572" s="57">
        <v>45838.327835648146</v>
      </c>
      <c r="C572" s="55" t="s">
        <v>1130</v>
      </c>
      <c r="D572" s="55" t="s">
        <v>1131</v>
      </c>
      <c r="E572" s="55"/>
      <c r="F572" s="55"/>
    </row>
    <row r="573" spans="1:6" x14ac:dyDescent="0.35">
      <c r="A573" s="6">
        <v>572</v>
      </c>
      <c r="B573" s="48">
        <v>45838.327835648146</v>
      </c>
      <c r="C573" s="8" t="s">
        <v>1132</v>
      </c>
      <c r="D573" s="8" t="s">
        <v>1133</v>
      </c>
      <c r="E573" s="55" t="s">
        <v>31</v>
      </c>
      <c r="F573" s="8"/>
    </row>
    <row r="574" spans="1:6" x14ac:dyDescent="0.35">
      <c r="A574" s="54">
        <v>573</v>
      </c>
      <c r="B574" s="57">
        <v>45838.327835648146</v>
      </c>
      <c r="C574" s="55" t="s">
        <v>1134</v>
      </c>
      <c r="D574" s="55" t="s">
        <v>1135</v>
      </c>
      <c r="E574" s="55" t="s">
        <v>31</v>
      </c>
      <c r="F574" s="55"/>
    </row>
    <row r="575" spans="1:6" x14ac:dyDescent="0.35">
      <c r="A575" s="6">
        <v>574</v>
      </c>
      <c r="B575" s="48">
        <v>45838.327835648146</v>
      </c>
      <c r="C575" s="8" t="s">
        <v>1136</v>
      </c>
      <c r="D575" s="8" t="s">
        <v>1137</v>
      </c>
      <c r="E575" s="55" t="s">
        <v>31</v>
      </c>
      <c r="F575" s="8"/>
    </row>
    <row r="576" spans="1:6" x14ac:dyDescent="0.35">
      <c r="A576" s="54">
        <v>575</v>
      </c>
      <c r="B576" s="57">
        <v>45838.327835648146</v>
      </c>
      <c r="C576" s="55" t="s">
        <v>1138</v>
      </c>
      <c r="D576" s="55" t="s">
        <v>1139</v>
      </c>
      <c r="E576" s="55" t="s">
        <v>31</v>
      </c>
      <c r="F576" s="55"/>
    </row>
    <row r="577" spans="1:6" x14ac:dyDescent="0.35">
      <c r="A577" s="6">
        <v>576</v>
      </c>
      <c r="B577" s="48">
        <v>45838.327835648146</v>
      </c>
      <c r="C577" s="8" t="s">
        <v>1140</v>
      </c>
      <c r="D577" s="8" t="s">
        <v>1141</v>
      </c>
      <c r="E577" s="55" t="s">
        <v>31</v>
      </c>
      <c r="F577" s="8"/>
    </row>
    <row r="578" spans="1:6" x14ac:dyDescent="0.35">
      <c r="A578" s="54">
        <v>577</v>
      </c>
      <c r="B578" s="57">
        <v>45838.327835648146</v>
      </c>
      <c r="C578" s="55" t="s">
        <v>1142</v>
      </c>
      <c r="D578" s="55" t="s">
        <v>1143</v>
      </c>
      <c r="E578" s="55" t="s">
        <v>31</v>
      </c>
      <c r="F578" s="55"/>
    </row>
    <row r="579" spans="1:6" x14ac:dyDescent="0.35">
      <c r="A579" s="6">
        <v>578</v>
      </c>
      <c r="B579" s="48">
        <v>45838.327835648146</v>
      </c>
      <c r="C579" s="8" t="s">
        <v>1144</v>
      </c>
      <c r="D579" s="8" t="s">
        <v>1145</v>
      </c>
      <c r="E579" s="55" t="s">
        <v>31</v>
      </c>
      <c r="F579" s="8"/>
    </row>
    <row r="580" spans="1:6" x14ac:dyDescent="0.35">
      <c r="A580" s="54">
        <v>579</v>
      </c>
      <c r="B580" s="57">
        <v>45838.327835648146</v>
      </c>
      <c r="C580" s="55" t="s">
        <v>1146</v>
      </c>
      <c r="D580" s="55" t="s">
        <v>1147</v>
      </c>
      <c r="E580" s="55"/>
      <c r="F580" s="55"/>
    </row>
    <row r="581" spans="1:6" x14ac:dyDescent="0.35">
      <c r="A581" s="6">
        <v>580</v>
      </c>
      <c r="B581" s="48">
        <v>45838.327835648146</v>
      </c>
      <c r="C581" s="8" t="s">
        <v>1148</v>
      </c>
      <c r="D581" s="8" t="s">
        <v>1149</v>
      </c>
      <c r="E581" s="55" t="s">
        <v>31</v>
      </c>
      <c r="F581" s="8"/>
    </row>
    <row r="582" spans="1:6" x14ac:dyDescent="0.35">
      <c r="A582" s="54">
        <v>581</v>
      </c>
      <c r="B582" s="57">
        <v>45838.327835648146</v>
      </c>
      <c r="C582" s="55" t="s">
        <v>1150</v>
      </c>
      <c r="D582" s="55" t="s">
        <v>391</v>
      </c>
      <c r="E582" s="55" t="s">
        <v>31</v>
      </c>
      <c r="F582" s="55"/>
    </row>
    <row r="583" spans="1:6" x14ac:dyDescent="0.35">
      <c r="A583" s="6">
        <v>582</v>
      </c>
      <c r="B583" s="48">
        <v>45838.327835648146</v>
      </c>
      <c r="C583" s="8" t="s">
        <v>1151</v>
      </c>
      <c r="D583" s="8" t="s">
        <v>451</v>
      </c>
      <c r="E583" s="55" t="s">
        <v>31</v>
      </c>
      <c r="F583" s="8"/>
    </row>
    <row r="584" spans="1:6" x14ac:dyDescent="0.35">
      <c r="A584" s="54">
        <v>583</v>
      </c>
      <c r="B584" s="57">
        <v>45838.327835648146</v>
      </c>
      <c r="C584" s="55" t="s">
        <v>1152</v>
      </c>
      <c r="D584" s="55" t="s">
        <v>387</v>
      </c>
      <c r="E584" s="55" t="s">
        <v>31</v>
      </c>
      <c r="F584" s="55"/>
    </row>
    <row r="585" spans="1:6" x14ac:dyDescent="0.35">
      <c r="A585" s="6">
        <v>584</v>
      </c>
      <c r="B585" s="48">
        <v>45838.327835648146</v>
      </c>
      <c r="C585" s="8" t="s">
        <v>1153</v>
      </c>
      <c r="D585" s="8" t="s">
        <v>1154</v>
      </c>
      <c r="E585" s="55" t="s">
        <v>31</v>
      </c>
      <c r="F585" s="8"/>
    </row>
    <row r="586" spans="1:6" x14ac:dyDescent="0.35">
      <c r="A586" s="54">
        <v>585</v>
      </c>
      <c r="B586" s="57">
        <v>45838.327835648146</v>
      </c>
      <c r="C586" s="55" t="s">
        <v>1155</v>
      </c>
      <c r="D586" s="55" t="s">
        <v>1156</v>
      </c>
      <c r="E586" s="55" t="s">
        <v>31</v>
      </c>
      <c r="F586" s="55"/>
    </row>
    <row r="587" spans="1:6" x14ac:dyDescent="0.35">
      <c r="A587" s="6">
        <v>586</v>
      </c>
      <c r="B587" s="48">
        <v>45838.327835648146</v>
      </c>
      <c r="C587" s="8" t="s">
        <v>1157</v>
      </c>
      <c r="D587" s="8" t="s">
        <v>1158</v>
      </c>
      <c r="E587" s="55"/>
      <c r="F587" s="8"/>
    </row>
    <row r="588" spans="1:6" x14ac:dyDescent="0.35">
      <c r="A588" s="54">
        <v>587</v>
      </c>
      <c r="B588" s="57">
        <v>45838.327835648146</v>
      </c>
      <c r="C588" s="55" t="s">
        <v>1159</v>
      </c>
      <c r="D588" s="55" t="s">
        <v>1160</v>
      </c>
      <c r="E588" s="55"/>
      <c r="F588" s="55"/>
    </row>
    <row r="589" spans="1:6" x14ac:dyDescent="0.35">
      <c r="A589" s="6">
        <v>588</v>
      </c>
      <c r="B589" s="48">
        <v>45838.327835648146</v>
      </c>
      <c r="C589" s="8" t="s">
        <v>1161</v>
      </c>
      <c r="D589" s="8" t="s">
        <v>1162</v>
      </c>
      <c r="E589" s="55"/>
      <c r="F589" s="8"/>
    </row>
    <row r="590" spans="1:6" x14ac:dyDescent="0.35">
      <c r="A590" s="54">
        <v>589</v>
      </c>
      <c r="B590" s="57">
        <v>45838.327835648146</v>
      </c>
      <c r="C590" s="55" t="s">
        <v>1163</v>
      </c>
      <c r="D590" s="55" t="s">
        <v>1164</v>
      </c>
      <c r="E590" s="55"/>
      <c r="F590" s="55"/>
    </row>
    <row r="591" spans="1:6" x14ac:dyDescent="0.35">
      <c r="A591" s="6">
        <v>590</v>
      </c>
      <c r="B591" s="48">
        <v>45838.327835648146</v>
      </c>
      <c r="C591" s="8" t="s">
        <v>1165</v>
      </c>
      <c r="D591" s="8" t="s">
        <v>1166</v>
      </c>
      <c r="E591" s="55"/>
      <c r="F591" s="8"/>
    </row>
    <row r="592" spans="1:6" x14ac:dyDescent="0.35">
      <c r="A592" s="54">
        <v>591</v>
      </c>
      <c r="B592" s="57">
        <v>45838.327835648146</v>
      </c>
      <c r="C592" s="55" t="s">
        <v>1167</v>
      </c>
      <c r="D592" s="55" t="s">
        <v>371</v>
      </c>
      <c r="E592" s="55" t="s">
        <v>31</v>
      </c>
      <c r="F592" s="55"/>
    </row>
    <row r="593" spans="1:6" x14ac:dyDescent="0.35">
      <c r="A593" s="6">
        <v>592</v>
      </c>
      <c r="B593" s="48">
        <v>45838.327835648146</v>
      </c>
      <c r="C593" s="8" t="s">
        <v>1168</v>
      </c>
      <c r="D593" s="8" t="s">
        <v>1169</v>
      </c>
      <c r="E593" s="55"/>
      <c r="F593" s="8"/>
    </row>
    <row r="594" spans="1:6" x14ac:dyDescent="0.35">
      <c r="A594" s="54">
        <v>593</v>
      </c>
      <c r="B594" s="57">
        <v>45838.327835648146</v>
      </c>
      <c r="C594" s="55" t="s">
        <v>1170</v>
      </c>
      <c r="D594" s="55" t="s">
        <v>1171</v>
      </c>
      <c r="E594" s="55"/>
      <c r="F594" s="55"/>
    </row>
    <row r="595" spans="1:6" x14ac:dyDescent="0.35">
      <c r="A595" s="6">
        <v>594</v>
      </c>
      <c r="B595" s="48">
        <v>45838.327835648146</v>
      </c>
      <c r="C595" s="8" t="s">
        <v>1172</v>
      </c>
      <c r="D595" s="8" t="s">
        <v>1173</v>
      </c>
      <c r="E595" s="55"/>
      <c r="F595" s="8"/>
    </row>
    <row r="596" spans="1:6" x14ac:dyDescent="0.35">
      <c r="A596" s="54">
        <v>595</v>
      </c>
      <c r="B596" s="57">
        <v>45838.327835648146</v>
      </c>
      <c r="C596" s="55" t="s">
        <v>1174</v>
      </c>
      <c r="D596" s="55" t="s">
        <v>1175</v>
      </c>
      <c r="E596" s="55"/>
      <c r="F596" s="55"/>
    </row>
    <row r="597" spans="1:6" x14ac:dyDescent="0.35">
      <c r="A597" s="6">
        <v>596</v>
      </c>
      <c r="B597" s="48">
        <v>45838.327835648146</v>
      </c>
      <c r="C597" s="8" t="s">
        <v>1176</v>
      </c>
      <c r="D597" s="8" t="s">
        <v>1177</v>
      </c>
      <c r="E597" s="55"/>
      <c r="F597" s="8"/>
    </row>
    <row r="598" spans="1:6" x14ac:dyDescent="0.35">
      <c r="A598" s="54">
        <v>597</v>
      </c>
      <c r="B598" s="57">
        <v>45838.327835648146</v>
      </c>
      <c r="C598" s="55" t="s">
        <v>1178</v>
      </c>
      <c r="D598" s="55" t="s">
        <v>1179</v>
      </c>
      <c r="E598" s="55"/>
      <c r="F598" s="55"/>
    </row>
    <row r="599" spans="1:6" x14ac:dyDescent="0.35">
      <c r="A599" s="6">
        <v>598</v>
      </c>
      <c r="B599" s="48">
        <v>45838.327835648146</v>
      </c>
      <c r="C599" s="8" t="s">
        <v>1180</v>
      </c>
      <c r="D599" s="8" t="s">
        <v>1181</v>
      </c>
      <c r="E599" s="55"/>
      <c r="F599" s="8"/>
    </row>
    <row r="600" spans="1:6" x14ac:dyDescent="0.35">
      <c r="A600" s="54">
        <v>599</v>
      </c>
      <c r="B600" s="57">
        <v>45838.327835648146</v>
      </c>
      <c r="C600" s="55" t="s">
        <v>1182</v>
      </c>
      <c r="D600" s="55" t="s">
        <v>1183</v>
      </c>
      <c r="E600" s="55"/>
      <c r="F600" s="55"/>
    </row>
    <row r="601" spans="1:6" x14ac:dyDescent="0.35">
      <c r="A601" s="6">
        <v>600</v>
      </c>
      <c r="B601" s="48">
        <v>45838.327835648146</v>
      </c>
      <c r="C601" s="8" t="s">
        <v>1184</v>
      </c>
      <c r="D601" s="8" t="s">
        <v>1185</v>
      </c>
      <c r="E601" s="55"/>
      <c r="F601" s="8"/>
    </row>
    <row r="602" spans="1:6" x14ac:dyDescent="0.35">
      <c r="A602" s="54">
        <v>601</v>
      </c>
      <c r="B602" s="57">
        <v>45838.327835648146</v>
      </c>
      <c r="C602" s="55" t="s">
        <v>1186</v>
      </c>
      <c r="D602" s="55" t="s">
        <v>1187</v>
      </c>
      <c r="E602" s="55"/>
      <c r="F602" s="55"/>
    </row>
    <row r="603" spans="1:6" x14ac:dyDescent="0.35">
      <c r="A603" s="6">
        <v>602</v>
      </c>
      <c r="B603" s="48">
        <v>45838.327835648146</v>
      </c>
      <c r="C603" s="8" t="s">
        <v>1188</v>
      </c>
      <c r="D603" s="8" t="s">
        <v>1189</v>
      </c>
      <c r="E603" s="55" t="s">
        <v>31</v>
      </c>
      <c r="F603" s="8"/>
    </row>
    <row r="604" spans="1:6" x14ac:dyDescent="0.35">
      <c r="A604" s="54">
        <v>603</v>
      </c>
      <c r="B604" s="57">
        <v>45838.327835648146</v>
      </c>
      <c r="C604" s="55" t="s">
        <v>1190</v>
      </c>
      <c r="D604" s="55" t="s">
        <v>1191</v>
      </c>
      <c r="E604" s="55" t="s">
        <v>58</v>
      </c>
      <c r="F604" s="55"/>
    </row>
    <row r="605" spans="1:6" x14ac:dyDescent="0.35">
      <c r="A605" s="6">
        <v>604</v>
      </c>
      <c r="B605" s="48">
        <v>45838.327835648146</v>
      </c>
      <c r="C605" s="8" t="s">
        <v>1192</v>
      </c>
      <c r="D605" s="8" t="s">
        <v>1193</v>
      </c>
      <c r="E605" s="55" t="s">
        <v>58</v>
      </c>
      <c r="F605" s="8"/>
    </row>
    <row r="606" spans="1:6" x14ac:dyDescent="0.35">
      <c r="A606" s="54">
        <v>605</v>
      </c>
      <c r="B606" s="57">
        <v>45838.327835648146</v>
      </c>
      <c r="C606" s="55" t="s">
        <v>1194</v>
      </c>
      <c r="D606" s="55" t="s">
        <v>1195</v>
      </c>
      <c r="E606" s="55"/>
      <c r="F606" s="55"/>
    </row>
    <row r="607" spans="1:6" x14ac:dyDescent="0.35">
      <c r="E607" s="55"/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FA950B-9727-4FC1-A5DC-A8DC7E3441FC}">
  <sheetPr codeName="Sheet3"/>
  <dimension ref="A1:CV100"/>
  <sheetViews>
    <sheetView topLeftCell="O1" zoomScale="73" workbookViewId="0">
      <selection activeCell="R15" sqref="R15"/>
    </sheetView>
  </sheetViews>
  <sheetFormatPr defaultRowHeight="14.5" x14ac:dyDescent="0.35"/>
  <cols>
    <col min="1" max="1" width="10.54296875" bestFit="1" customWidth="1"/>
    <col min="2" max="2" width="17.7265625" customWidth="1"/>
    <col min="3" max="3" width="13.7265625" bestFit="1" customWidth="1"/>
    <col min="4" max="4" width="18.26953125" customWidth="1"/>
    <col min="5" max="5" width="25.1796875" bestFit="1" customWidth="1"/>
    <col min="6" max="6" width="14.1796875" bestFit="1" customWidth="1"/>
    <col min="7" max="7" width="25.7265625" bestFit="1" customWidth="1"/>
    <col min="8" max="8" width="14.26953125" bestFit="1" customWidth="1"/>
    <col min="9" max="9" width="25.81640625" bestFit="1" customWidth="1"/>
    <col min="10" max="10" width="17.36328125" bestFit="1" customWidth="1"/>
    <col min="11" max="11" width="28.81640625" bestFit="1" customWidth="1"/>
    <col min="12" max="12" width="15.6328125" bestFit="1" customWidth="1"/>
    <col min="13" max="13" width="27.1796875" bestFit="1" customWidth="1"/>
    <col min="14" max="14" width="12.54296875" bestFit="1" customWidth="1"/>
    <col min="15" max="15" width="24.08984375" bestFit="1" customWidth="1"/>
    <col min="16" max="16" width="15.453125" bestFit="1" customWidth="1"/>
    <col min="17" max="17" width="27" bestFit="1" customWidth="1"/>
  </cols>
  <sheetData>
    <row r="1" spans="1:17" x14ac:dyDescent="0.35">
      <c r="A1" s="58" t="s">
        <v>23</v>
      </c>
      <c r="B1" s="58" t="s">
        <v>6</v>
      </c>
      <c r="C1" s="58" t="s">
        <v>24</v>
      </c>
      <c r="D1" s="58" t="s">
        <v>9</v>
      </c>
      <c r="E1" s="58" t="s">
        <v>14</v>
      </c>
      <c r="F1" s="58" t="s">
        <v>10</v>
      </c>
      <c r="G1" s="58" t="s">
        <v>16</v>
      </c>
      <c r="H1" s="58" t="s">
        <v>11</v>
      </c>
      <c r="I1" s="58" t="s">
        <v>17</v>
      </c>
      <c r="J1" s="58"/>
      <c r="K1" s="58" t="s">
        <v>18</v>
      </c>
      <c r="L1" s="58" t="s">
        <v>12</v>
      </c>
      <c r="M1" s="58" t="s">
        <v>19</v>
      </c>
      <c r="N1" s="58"/>
      <c r="O1" s="58" t="s">
        <v>20</v>
      </c>
      <c r="P1" s="58" t="s">
        <v>13</v>
      </c>
      <c r="Q1" s="58" t="s">
        <v>21</v>
      </c>
    </row>
    <row r="2" spans="1:17" x14ac:dyDescent="0.35">
      <c r="A2" s="59">
        <v>1</v>
      </c>
      <c r="B2" s="60">
        <v>45817</v>
      </c>
      <c r="C2" s="62" t="s">
        <v>22</v>
      </c>
      <c r="D2" s="63">
        <v>0</v>
      </c>
      <c r="E2" s="62">
        <v>0</v>
      </c>
      <c r="F2" s="63">
        <v>0.29166666666666669</v>
      </c>
      <c r="G2" s="62">
        <v>20</v>
      </c>
      <c r="H2" s="63">
        <v>0.29166666666666669</v>
      </c>
      <c r="I2" s="62">
        <v>20</v>
      </c>
      <c r="J2" s="65">
        <v>0.29166666666666669</v>
      </c>
      <c r="K2" s="62">
        <v>20</v>
      </c>
      <c r="L2" s="63">
        <v>0.29166666666666669</v>
      </c>
      <c r="M2" s="62">
        <v>20</v>
      </c>
      <c r="N2" s="65">
        <v>0.29166666666666669</v>
      </c>
      <c r="O2" s="62">
        <v>5</v>
      </c>
      <c r="P2" s="63">
        <v>0</v>
      </c>
      <c r="Q2" s="62">
        <v>0</v>
      </c>
    </row>
    <row r="3" spans="1:17" x14ac:dyDescent="0.35">
      <c r="A3" s="6">
        <v>2</v>
      </c>
      <c r="B3" s="46">
        <v>45817</v>
      </c>
      <c r="C3" s="8" t="s">
        <v>3</v>
      </c>
      <c r="D3" s="64">
        <v>0</v>
      </c>
      <c r="E3" s="8">
        <v>0</v>
      </c>
      <c r="F3" s="64">
        <v>0.29166666666666669</v>
      </c>
      <c r="G3" s="8">
        <v>20</v>
      </c>
      <c r="H3" s="64">
        <v>0.29166666666666669</v>
      </c>
      <c r="I3" s="8">
        <v>20</v>
      </c>
      <c r="J3" s="66">
        <v>0.29166666666666669</v>
      </c>
      <c r="K3" s="8">
        <v>20</v>
      </c>
      <c r="L3" s="64">
        <v>0.29166666666666669</v>
      </c>
      <c r="M3" s="8">
        <v>20</v>
      </c>
      <c r="N3" s="66">
        <v>0.29166666666666669</v>
      </c>
      <c r="O3" s="8">
        <v>5</v>
      </c>
      <c r="P3" s="64">
        <v>0</v>
      </c>
      <c r="Q3" s="8">
        <v>0</v>
      </c>
    </row>
    <row r="4" spans="1:17" x14ac:dyDescent="0.35">
      <c r="A4" s="59">
        <v>3</v>
      </c>
      <c r="B4" s="60">
        <v>45817</v>
      </c>
      <c r="C4" s="62" t="s">
        <v>0</v>
      </c>
      <c r="D4" s="63">
        <v>0</v>
      </c>
      <c r="E4" s="62">
        <v>0</v>
      </c>
      <c r="F4" s="63">
        <v>0.29166666666666669</v>
      </c>
      <c r="G4" s="62">
        <v>20</v>
      </c>
      <c r="H4" s="63">
        <v>0.29166666666666669</v>
      </c>
      <c r="I4" s="62">
        <v>20</v>
      </c>
      <c r="J4" s="65">
        <v>0.29166666666666669</v>
      </c>
      <c r="K4" s="62">
        <v>20</v>
      </c>
      <c r="L4" s="63">
        <v>0.29166666666666669</v>
      </c>
      <c r="M4" s="62">
        <v>20</v>
      </c>
      <c r="N4" s="65">
        <v>0.29166666666666669</v>
      </c>
      <c r="O4" s="62">
        <v>5</v>
      </c>
      <c r="P4" s="63">
        <v>0</v>
      </c>
      <c r="Q4" s="62">
        <v>0</v>
      </c>
    </row>
    <row r="5" spans="1:17" x14ac:dyDescent="0.35">
      <c r="A5" s="6">
        <v>4</v>
      </c>
      <c r="B5" s="46">
        <v>45817</v>
      </c>
      <c r="C5" s="8" t="s">
        <v>7</v>
      </c>
      <c r="D5" s="64">
        <v>0</v>
      </c>
      <c r="E5" s="8">
        <v>24</v>
      </c>
      <c r="F5" s="64">
        <v>0</v>
      </c>
      <c r="G5" s="8">
        <v>24</v>
      </c>
      <c r="H5" s="64">
        <v>0</v>
      </c>
      <c r="I5" s="8">
        <v>24</v>
      </c>
      <c r="J5" s="66">
        <v>0</v>
      </c>
      <c r="K5" s="8">
        <v>24</v>
      </c>
      <c r="L5" s="64">
        <v>0</v>
      </c>
      <c r="M5" s="8">
        <v>24</v>
      </c>
      <c r="N5" s="66">
        <v>0</v>
      </c>
      <c r="O5" s="8">
        <v>24</v>
      </c>
      <c r="P5" s="64">
        <v>0</v>
      </c>
      <c r="Q5" s="8">
        <v>24</v>
      </c>
    </row>
    <row r="6" spans="1:17" x14ac:dyDescent="0.35">
      <c r="A6" s="59">
        <v>5</v>
      </c>
      <c r="B6" s="60">
        <v>45817</v>
      </c>
      <c r="C6" s="62" t="s">
        <v>2</v>
      </c>
      <c r="D6" s="63">
        <v>0</v>
      </c>
      <c r="E6" s="62">
        <v>0</v>
      </c>
      <c r="F6" s="63">
        <v>0.29166666666666669</v>
      </c>
      <c r="G6" s="62">
        <v>20</v>
      </c>
      <c r="H6" s="63">
        <v>0.29166666666666669</v>
      </c>
      <c r="I6" s="62">
        <v>20</v>
      </c>
      <c r="J6" s="65">
        <v>0.29166666666666669</v>
      </c>
      <c r="K6" s="62">
        <v>20</v>
      </c>
      <c r="L6" s="63">
        <v>0.29166666666666669</v>
      </c>
      <c r="M6" s="62">
        <v>20</v>
      </c>
      <c r="N6" s="65">
        <v>0.29166666666666669</v>
      </c>
      <c r="O6" s="62">
        <v>5</v>
      </c>
      <c r="P6" s="63">
        <v>0</v>
      </c>
      <c r="Q6" s="62">
        <v>0</v>
      </c>
    </row>
    <row r="7" spans="1:17" x14ac:dyDescent="0.35">
      <c r="A7" s="6">
        <v>6</v>
      </c>
      <c r="B7" s="46">
        <v>45817</v>
      </c>
      <c r="C7" s="8" t="s">
        <v>4</v>
      </c>
      <c r="D7" s="64">
        <v>0</v>
      </c>
      <c r="E7" s="8">
        <v>0</v>
      </c>
      <c r="F7" s="64">
        <v>0.29166666666666669</v>
      </c>
      <c r="G7" s="8">
        <v>20</v>
      </c>
      <c r="H7" s="64">
        <v>0.29166666666666669</v>
      </c>
      <c r="I7" s="8">
        <v>20</v>
      </c>
      <c r="J7" s="66">
        <v>0.29166666666666669</v>
      </c>
      <c r="K7" s="8">
        <v>20</v>
      </c>
      <c r="L7" s="64">
        <v>0.29166666666666669</v>
      </c>
      <c r="M7" s="8">
        <v>20</v>
      </c>
      <c r="N7" s="66">
        <v>0.29166666666666669</v>
      </c>
      <c r="O7" s="8">
        <v>5</v>
      </c>
      <c r="P7" s="64">
        <v>0</v>
      </c>
      <c r="Q7" s="8">
        <v>0</v>
      </c>
    </row>
    <row r="8" spans="1:17" x14ac:dyDescent="0.35">
      <c r="A8" s="59">
        <v>7</v>
      </c>
      <c r="B8" s="60">
        <v>45817</v>
      </c>
      <c r="C8" s="62" t="s">
        <v>8</v>
      </c>
      <c r="D8" s="63">
        <v>0</v>
      </c>
      <c r="E8" s="62">
        <v>0</v>
      </c>
      <c r="F8" s="63">
        <v>0.29166666666666669</v>
      </c>
      <c r="G8" s="62">
        <v>20</v>
      </c>
      <c r="H8" s="63">
        <v>0.29166666666666669</v>
      </c>
      <c r="I8" s="62">
        <v>20</v>
      </c>
      <c r="J8" s="65">
        <v>0.29166666666666669</v>
      </c>
      <c r="K8" s="62">
        <v>20</v>
      </c>
      <c r="L8" s="63">
        <v>0.29166666666666669</v>
      </c>
      <c r="M8" s="62">
        <v>20</v>
      </c>
      <c r="N8" s="65">
        <v>0.29166666666666669</v>
      </c>
      <c r="O8" s="62">
        <v>5</v>
      </c>
      <c r="P8" s="63">
        <v>0</v>
      </c>
      <c r="Q8" s="62">
        <v>0</v>
      </c>
    </row>
    <row r="9" spans="1:17" x14ac:dyDescent="0.35">
      <c r="A9" s="6">
        <v>8</v>
      </c>
      <c r="B9" s="46">
        <v>45817</v>
      </c>
      <c r="C9" s="8" t="s">
        <v>15</v>
      </c>
      <c r="D9" s="64">
        <v>0</v>
      </c>
      <c r="E9" s="8">
        <v>0</v>
      </c>
      <c r="F9" s="64">
        <v>0.29166666666666669</v>
      </c>
      <c r="G9" s="8">
        <v>20</v>
      </c>
      <c r="H9" s="64">
        <v>0.29166666666666669</v>
      </c>
      <c r="I9" s="8">
        <v>20</v>
      </c>
      <c r="J9" s="66">
        <v>0.29166666666666669</v>
      </c>
      <c r="K9" s="8">
        <v>20</v>
      </c>
      <c r="L9" s="64">
        <v>0.29166666666666669</v>
      </c>
      <c r="M9" s="8">
        <v>20</v>
      </c>
      <c r="N9" s="66">
        <v>0.29166666666666669</v>
      </c>
      <c r="O9" s="8">
        <v>5</v>
      </c>
      <c r="P9" s="64">
        <v>0</v>
      </c>
      <c r="Q9" s="8">
        <v>0</v>
      </c>
    </row>
    <row r="10" spans="1:17" x14ac:dyDescent="0.35">
      <c r="A10" s="59">
        <v>9</v>
      </c>
      <c r="B10" s="61">
        <v>45826.50677083333</v>
      </c>
      <c r="C10" s="62" t="s">
        <v>1030</v>
      </c>
      <c r="D10" s="63">
        <v>0</v>
      </c>
      <c r="E10" s="62">
        <v>0</v>
      </c>
      <c r="F10" s="63">
        <v>0.29166666666666669</v>
      </c>
      <c r="G10" s="62">
        <v>20</v>
      </c>
      <c r="H10" s="63">
        <v>0.29166666666666669</v>
      </c>
      <c r="I10" s="62">
        <v>20</v>
      </c>
      <c r="J10" s="65">
        <v>0.29166666666666669</v>
      </c>
      <c r="K10" s="62">
        <v>20</v>
      </c>
      <c r="L10" s="63">
        <v>0.29166666666666669</v>
      </c>
      <c r="M10" s="62">
        <v>20</v>
      </c>
      <c r="N10" s="65">
        <v>0.29166666666666669</v>
      </c>
      <c r="O10" s="62">
        <v>5</v>
      </c>
      <c r="P10" s="63">
        <v>0</v>
      </c>
      <c r="Q10" s="62">
        <v>0</v>
      </c>
    </row>
    <row r="100" spans="100:100" x14ac:dyDescent="0.35">
      <c r="CV100">
        <v>10</v>
      </c>
    </row>
  </sheetData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67389CEEFE3BF547BD1DE90CA5AC20C2" ma:contentTypeVersion="1" ma:contentTypeDescription="Create a new document." ma:contentTypeScope="" ma:versionID="36f3e6fa9712f3a7e986af23b37fac3b">
  <xsd:schema xmlns:xsd="http://www.w3.org/2001/XMLSchema" xmlns:xs="http://www.w3.org/2001/XMLSchema" xmlns:p="http://schemas.microsoft.com/office/2006/metadata/properties" xmlns:ns3="e1953e06-092c-4737-8ef9-c8f96aef01c4" targetNamespace="http://schemas.microsoft.com/office/2006/metadata/properties" ma:root="true" ma:fieldsID="8b45e0c61599feb75ab67f27c0def287" ns3:_="">
    <xsd:import namespace="e1953e06-092c-4737-8ef9-c8f96aef01c4"/>
    <xsd:element name="properties">
      <xsd:complexType>
        <xsd:sequence>
          <xsd:element name="documentManagement">
            <xsd:complexType>
              <xsd:all>
                <xsd:element ref="ns3:MediaServiceDateTake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953e06-092c-4737-8ef9-c8f96aef01c4" elementFormDefault="qualified">
    <xsd:import namespace="http://schemas.microsoft.com/office/2006/documentManagement/types"/>
    <xsd:import namespace="http://schemas.microsoft.com/office/infopath/2007/PartnerControls"/>
    <xsd:element name="MediaServiceDateTaken" ma:index="8" nillable="true" ma:displayName="MediaServiceDateTaken" ma:hidden="true" ma:indexed="true" ma:internalName="MediaServiceDateTaken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3447B036-7E11-4D6F-ACD3-0B89992CD059}">
  <ds:schemaRefs>
    <ds:schemaRef ds:uri="http://schemas.microsoft.com/office/2006/documentManagement/types"/>
    <ds:schemaRef ds:uri="http://schemas.microsoft.com/office/infopath/2007/PartnerControls"/>
    <ds:schemaRef ds:uri="http://purl.org/dc/dcmitype/"/>
    <ds:schemaRef ds:uri="http://www.w3.org/XML/1998/namespace"/>
    <ds:schemaRef ds:uri="http://schemas.microsoft.com/office/2006/metadata/properties"/>
    <ds:schemaRef ds:uri="http://purl.org/dc/elements/1.1/"/>
    <ds:schemaRef ds:uri="http://purl.org/dc/terms/"/>
    <ds:schemaRef ds:uri="http://schemas.openxmlformats.org/package/2006/metadata/core-properties"/>
    <ds:schemaRef ds:uri="e1953e06-092c-4737-8ef9-c8f96aef01c4"/>
  </ds:schemaRefs>
</ds:datastoreItem>
</file>

<file path=customXml/itemProps2.xml><?xml version="1.0" encoding="utf-8"?>
<ds:datastoreItem xmlns:ds="http://schemas.openxmlformats.org/officeDocument/2006/customXml" ds:itemID="{1C2E062B-2D28-4047-90B0-265C964F498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953e06-092c-4737-8ef9-c8f96aef01c4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FEAA1C46-4822-44CD-A456-D0D2D2B75326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6</vt:i4>
      </vt:variant>
    </vt:vector>
  </HeadingPairs>
  <TitlesOfParts>
    <vt:vector size="12" baseType="lpstr">
      <vt:lpstr>BarChart</vt:lpstr>
      <vt:lpstr>JOBS_LOCAL</vt:lpstr>
      <vt:lpstr>ProductOrderParts</vt:lpstr>
      <vt:lpstr>ProductOrders</vt:lpstr>
      <vt:lpstr>Parts</vt:lpstr>
      <vt:lpstr>Resources</vt:lpstr>
      <vt:lpstr>Activity_Bar_Chart_Range</vt:lpstr>
      <vt:lpstr>Current_Day</vt:lpstr>
      <vt:lpstr>Hours_Row</vt:lpstr>
      <vt:lpstr>MACHINES</vt:lpstr>
      <vt:lpstr>Scrolling_Increment</vt:lpstr>
      <vt:lpstr>TBL_SCHEDULING_VIEW_MACHINES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Sales MFG</dc:creator>
  <cp:lastModifiedBy>Sales MFG</cp:lastModifiedBy>
  <dcterms:created xsi:type="dcterms:W3CDTF">2025-04-28T16:35:01Z</dcterms:created>
  <dcterms:modified xsi:type="dcterms:W3CDTF">2025-07-01T16:10:49Z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0x01010067389CEEFE3BF547BD1DE90CA5AC20C2</vt:lpwstr>
  </property>
</Properties>
</file>